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ibo_ad_unc_edu/Documents/CSCC/HCHS/V3_SIM/suddan/HCHS_simulation/output/alex/"/>
    </mc:Choice>
  </mc:AlternateContent>
  <xr:revisionPtr revIDLastSave="2161" documentId="8_{806890A3-F5CA-43CB-BF78-48519A5A6FAC}" xr6:coauthVersionLast="47" xr6:coauthVersionMax="47" xr10:uidLastSave="{B9CCA6F6-259F-406E-BA76-A15E9B7FB9C5}"/>
  <bookViews>
    <workbookView xWindow="-120" yWindow="-120" windowWidth="29040" windowHeight="15720" tabRatio="1000" firstSheet="2" activeTab="3" xr2:uid="{15708593-FB03-48BC-8987-B6F9B8D92C9C}"/>
  </bookViews>
  <sheets>
    <sheet name="Comparison (Coverages)" sheetId="14" state="hidden" r:id="rId1"/>
    <sheet name="Coverages" sheetId="15" state="hidden" r:id="rId2"/>
    <sheet name="Method Codes" sheetId="27" r:id="rId3"/>
    <sheet name="Batch Output" sheetId="26" r:id="rId4"/>
    <sheet name="Coverages (RR_glm)" sheetId="16" r:id="rId5"/>
    <sheet name="Coverages (RR_glm_strat)" sheetId="20" r:id="rId6"/>
    <sheet name="Coverages (RR_glm_agestrat)" sheetId="29" r:id="rId7"/>
    <sheet name="Coverages (RR_NRadj)" sheetId="17" r:id="rId8"/>
    <sheet name="Coverages (RR_NRadj_strat)" sheetId="21" r:id="rId9"/>
    <sheet name="Bin. Coverages (RR_glm)" sheetId="22" r:id="rId10"/>
    <sheet name="Bin. Coverages (RR_glm_strat)" sheetId="23" r:id="rId11"/>
    <sheet name="Bin. Coverages (RR_NRadj)" sheetId="24" r:id="rId12"/>
    <sheet name="Bin. Coverages (RR_NRadj_strat)" sheetId="25" r:id="rId13"/>
    <sheet name="Bin. Coverages (RR_glm_agestra)" sheetId="30" r:id="rId14"/>
    <sheet name="Imputation Methods" sheetId="19" r:id="rId15"/>
    <sheet name="temp notes" sheetId="18" state="hidden" r:id="rId16"/>
    <sheet name="gee vs genmod" sheetId="13" state="hidden" r:id="rId17"/>
  </sheets>
  <definedNames>
    <definedName name="IDX" localSheetId="0">'Comparison (Coverages)'!#REF!</definedName>
    <definedName name="IDX" localSheetId="16">'gee vs genmod'!$A$46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7" i="27" l="1"/>
  <c r="L148" i="27"/>
  <c r="L149" i="27"/>
  <c r="L150" i="27"/>
  <c r="L151" i="27"/>
  <c r="L152" i="27"/>
  <c r="L153" i="27"/>
  <c r="L154" i="27"/>
  <c r="L155" i="27"/>
  <c r="L156" i="27"/>
  <c r="L157" i="27"/>
  <c r="L158" i="27"/>
  <c r="L159" i="27"/>
  <c r="L160" i="27"/>
  <c r="L161" i="27"/>
  <c r="L162" i="27"/>
  <c r="L163" i="27"/>
  <c r="L164" i="27"/>
  <c r="L165" i="27"/>
  <c r="L166" i="27"/>
  <c r="L167" i="27"/>
  <c r="L168" i="27"/>
  <c r="L169" i="27"/>
  <c r="L170" i="27"/>
  <c r="L171" i="27"/>
  <c r="L172" i="27"/>
  <c r="L173" i="27"/>
  <c r="L174" i="27"/>
  <c r="L175" i="27"/>
  <c r="L176" i="27"/>
  <c r="L177" i="27"/>
  <c r="L178" i="27"/>
  <c r="L179" i="27"/>
  <c r="L180" i="27"/>
  <c r="L181" i="27"/>
  <c r="L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46" i="27"/>
  <c r="M147" i="27"/>
  <c r="I147" i="27" s="1"/>
  <c r="M148" i="27"/>
  <c r="I148" i="27" s="1"/>
  <c r="M149" i="27"/>
  <c r="I149" i="27" s="1"/>
  <c r="M150" i="27"/>
  <c r="I150" i="27" s="1"/>
  <c r="M151" i="27"/>
  <c r="I151" i="27" s="1"/>
  <c r="M152" i="27"/>
  <c r="M153" i="27"/>
  <c r="M154" i="27"/>
  <c r="I154" i="27" s="1"/>
  <c r="M155" i="27"/>
  <c r="M156" i="27"/>
  <c r="M157" i="27"/>
  <c r="M158" i="27"/>
  <c r="M159" i="27"/>
  <c r="M160" i="27"/>
  <c r="M161" i="27"/>
  <c r="M162" i="27"/>
  <c r="M163" i="27"/>
  <c r="I163" i="27" s="1"/>
  <c r="M164" i="27"/>
  <c r="I164" i="27" s="1"/>
  <c r="M165" i="27"/>
  <c r="I165" i="27" s="1"/>
  <c r="M166" i="27"/>
  <c r="I166" i="27" s="1"/>
  <c r="M167" i="27"/>
  <c r="I167" i="27" s="1"/>
  <c r="M168" i="27"/>
  <c r="M169" i="27"/>
  <c r="M170" i="27"/>
  <c r="I170" i="27" s="1"/>
  <c r="M171" i="27"/>
  <c r="M172" i="27"/>
  <c r="M173" i="27"/>
  <c r="M174" i="27"/>
  <c r="M175" i="27"/>
  <c r="M176" i="27"/>
  <c r="M177" i="27"/>
  <c r="M178" i="27"/>
  <c r="M179" i="27"/>
  <c r="I179" i="27" s="1"/>
  <c r="M180" i="27"/>
  <c r="I180" i="27" s="1"/>
  <c r="M181" i="27"/>
  <c r="I181" i="27" s="1"/>
  <c r="M146" i="27"/>
  <c r="I146" i="27" s="1"/>
  <c r="I178" i="27" l="1"/>
  <c r="I162" i="27"/>
  <c r="I169" i="27"/>
  <c r="I153" i="27"/>
  <c r="I177" i="27"/>
  <c r="I161" i="27"/>
  <c r="I168" i="27"/>
  <c r="I152" i="27"/>
  <c r="I172" i="27"/>
  <c r="I156" i="27"/>
  <c r="I176" i="27"/>
  <c r="I160" i="27"/>
  <c r="I175" i="27"/>
  <c r="I159" i="27"/>
  <c r="K13" i="29" s="1"/>
  <c r="U33" i="30"/>
  <c r="I174" i="27"/>
  <c r="I158" i="27"/>
  <c r="I173" i="27"/>
  <c r="I157" i="27"/>
  <c r="I171" i="27"/>
  <c r="I155" i="27"/>
  <c r="V33" i="29"/>
  <c r="U43" i="29"/>
  <c r="N45" i="29" s="1" a="1"/>
  <c r="N45" i="29" s="1"/>
  <c r="U33" i="29"/>
  <c r="N35" i="29" s="1" a="1"/>
  <c r="N35" i="29" s="1"/>
  <c r="V3" i="29"/>
  <c r="U3" i="29"/>
  <c r="N5" i="29" s="1" a="1"/>
  <c r="N5" i="29" s="1"/>
  <c r="J3" i="29"/>
  <c r="U53" i="29"/>
  <c r="V13" i="29"/>
  <c r="U13" i="29"/>
  <c r="N15" i="29" s="1" a="1"/>
  <c r="N15" i="29" s="1"/>
  <c r="V43" i="29"/>
  <c r="K3" i="29" l="1"/>
  <c r="J13" i="29"/>
  <c r="C15" i="29" s="1" a="1"/>
  <c r="C15" i="29" s="1"/>
  <c r="U63" i="29"/>
  <c r="C5" i="29" a="1"/>
  <c r="C5" i="29" s="1"/>
  <c r="J3" i="30"/>
  <c r="J53" i="29"/>
  <c r="C5" i="30" a="1"/>
  <c r="C5" i="30" s="1"/>
  <c r="N55" i="29" a="1"/>
  <c r="N55" i="29" s="1"/>
  <c r="J13" i="30"/>
  <c r="V53" i="29"/>
  <c r="V63" i="29"/>
  <c r="U43" i="30"/>
  <c r="N45" i="30" s="1" a="1"/>
  <c r="N45" i="30" s="1"/>
  <c r="J63" i="30"/>
  <c r="N35" i="30" a="1"/>
  <c r="N35" i="30" s="1"/>
  <c r="K33" i="30"/>
  <c r="V53" i="30"/>
  <c r="N65" i="29" a="1"/>
  <c r="N65" i="29" s="1"/>
  <c r="J53" i="30"/>
  <c r="C55" i="30" s="1" a="1"/>
  <c r="C55" i="30" s="1"/>
  <c r="J43" i="29"/>
  <c r="U13" i="30"/>
  <c r="U63" i="30"/>
  <c r="N65" i="30" s="1" a="1"/>
  <c r="N65" i="30" s="1"/>
  <c r="V43" i="30"/>
  <c r="K43" i="29"/>
  <c r="J63" i="29"/>
  <c r="C65" i="29" s="1" a="1"/>
  <c r="C65" i="29" s="1"/>
  <c r="K63" i="30"/>
  <c r="V3" i="30"/>
  <c r="V33" i="30"/>
  <c r="U3" i="30"/>
  <c r="N5" i="30" s="1" a="1"/>
  <c r="N5" i="30" s="1"/>
  <c r="J33" i="30"/>
  <c r="C35" i="30" s="1" a="1"/>
  <c r="C35" i="30" s="1"/>
  <c r="K43" i="30"/>
  <c r="J33" i="29"/>
  <c r="U53" i="30"/>
  <c r="N55" i="30" s="1" a="1"/>
  <c r="N55" i="30" s="1"/>
  <c r="K3" i="30"/>
  <c r="K33" i="29"/>
  <c r="K53" i="30"/>
  <c r="J43" i="30"/>
  <c r="C45" i="30" s="1" a="1"/>
  <c r="C45" i="30" s="1"/>
  <c r="V13" i="30"/>
  <c r="V63" i="30"/>
  <c r="K53" i="29"/>
  <c r="C55" i="29" s="1" a="1"/>
  <c r="C55" i="29" s="1"/>
  <c r="K63" i="29"/>
  <c r="K13" i="30"/>
  <c r="C65" i="30" l="1" a="1"/>
  <c r="C65" i="30" s="1"/>
  <c r="C15" i="30" a="1"/>
  <c r="C15" i="30" s="1"/>
  <c r="N15" i="30" a="1"/>
  <c r="N15" i="30" s="1"/>
  <c r="C45" i="29" a="1"/>
  <c r="C45" i="29" s="1"/>
  <c r="C35" i="29" a="1"/>
  <c r="C35" i="29" s="1"/>
  <c r="K3" i="20" l="1"/>
  <c r="U3" i="16"/>
  <c r="U63" i="25"/>
  <c r="U53" i="25"/>
  <c r="U43" i="25"/>
  <c r="U33" i="25"/>
  <c r="U13" i="25"/>
  <c r="U3" i="25"/>
  <c r="J63" i="25"/>
  <c r="J53" i="25"/>
  <c r="J43" i="25"/>
  <c r="J33" i="25"/>
  <c r="J13" i="25"/>
  <c r="J3" i="25"/>
  <c r="U63" i="24"/>
  <c r="U53" i="24"/>
  <c r="U43" i="24"/>
  <c r="U33" i="24"/>
  <c r="U13" i="24"/>
  <c r="U3" i="24"/>
  <c r="J63" i="24"/>
  <c r="J53" i="24"/>
  <c r="J43" i="24"/>
  <c r="J33" i="24"/>
  <c r="J13" i="24"/>
  <c r="J3" i="24"/>
  <c r="U63" i="23"/>
  <c r="U53" i="23"/>
  <c r="U43" i="23"/>
  <c r="U33" i="23"/>
  <c r="U13" i="23"/>
  <c r="U3" i="23"/>
  <c r="J63" i="23"/>
  <c r="J53" i="23"/>
  <c r="J43" i="23"/>
  <c r="J33" i="23"/>
  <c r="J13" i="23"/>
  <c r="J3" i="23"/>
  <c r="U63" i="22"/>
  <c r="U53" i="22"/>
  <c r="U43" i="22"/>
  <c r="U33" i="22"/>
  <c r="U13" i="22"/>
  <c r="U3" i="22"/>
  <c r="J63" i="22"/>
  <c r="J53" i="22"/>
  <c r="J43" i="22"/>
  <c r="J33" i="22"/>
  <c r="J13" i="22"/>
  <c r="J3" i="22"/>
  <c r="U63" i="21"/>
  <c r="U53" i="21"/>
  <c r="U43" i="21"/>
  <c r="U33" i="21"/>
  <c r="U13" i="21"/>
  <c r="N15" i="21" s="1" a="1"/>
  <c r="N15" i="21" s="1"/>
  <c r="U3" i="21"/>
  <c r="J63" i="21"/>
  <c r="J53" i="21"/>
  <c r="J43" i="21"/>
  <c r="J33" i="21"/>
  <c r="J13" i="21"/>
  <c r="J3" i="21"/>
  <c r="U63" i="17"/>
  <c r="U53" i="17"/>
  <c r="U43" i="17"/>
  <c r="U33" i="17"/>
  <c r="U13" i="17"/>
  <c r="U3" i="17"/>
  <c r="J63" i="17"/>
  <c r="C65" i="17" s="1" a="1"/>
  <c r="C65" i="17" s="1"/>
  <c r="J53" i="17"/>
  <c r="J43" i="17"/>
  <c r="C45" i="17" s="1" a="1"/>
  <c r="C45" i="17" s="1"/>
  <c r="J33" i="17"/>
  <c r="J13" i="17"/>
  <c r="J3" i="17"/>
  <c r="C5" i="17" s="1" a="1"/>
  <c r="C5" i="17" s="1"/>
  <c r="U63" i="20"/>
  <c r="U53" i="20"/>
  <c r="U43" i="20"/>
  <c r="N45" i="20" s="1" a="1"/>
  <c r="N45" i="20" s="1"/>
  <c r="U33" i="20"/>
  <c r="U13" i="20"/>
  <c r="U3" i="20"/>
  <c r="J63" i="20"/>
  <c r="C65" i="20" s="1" a="1"/>
  <c r="C65" i="20" s="1"/>
  <c r="J53" i="20"/>
  <c r="J43" i="20"/>
  <c r="C45" i="20" s="1" a="1"/>
  <c r="C45" i="20" s="1"/>
  <c r="J33" i="20"/>
  <c r="J13" i="20"/>
  <c r="J3" i="20"/>
  <c r="C5" i="20" s="1" a="1"/>
  <c r="C5" i="20" s="1"/>
  <c r="U13" i="16"/>
  <c r="N15" i="16" s="1" a="1"/>
  <c r="N15" i="16" s="1"/>
  <c r="U33" i="16"/>
  <c r="U43" i="16"/>
  <c r="U53" i="16"/>
  <c r="U63" i="16"/>
  <c r="J63" i="16"/>
  <c r="C65" i="16" s="1" a="1"/>
  <c r="C65" i="16" s="1"/>
  <c r="J53" i="16"/>
  <c r="J43" i="16"/>
  <c r="J33" i="16"/>
  <c r="J13" i="16"/>
  <c r="J3" i="16"/>
  <c r="C5" i="16" s="1" a="1"/>
  <c r="C5" i="16" s="1"/>
  <c r="V63" i="25"/>
  <c r="K63" i="25"/>
  <c r="V53" i="25"/>
  <c r="K53" i="25"/>
  <c r="V43" i="25"/>
  <c r="K43" i="25"/>
  <c r="V33" i="25"/>
  <c r="K33" i="25"/>
  <c r="V13" i="25"/>
  <c r="K13" i="25"/>
  <c r="V3" i="25"/>
  <c r="K3" i="25"/>
  <c r="V63" i="24"/>
  <c r="K63" i="24"/>
  <c r="V53" i="24"/>
  <c r="K53" i="24"/>
  <c r="V43" i="24"/>
  <c r="K43" i="24"/>
  <c r="V33" i="24"/>
  <c r="K33" i="24"/>
  <c r="V13" i="24"/>
  <c r="K13" i="24"/>
  <c r="V3" i="24"/>
  <c r="K3" i="24"/>
  <c r="V63" i="22"/>
  <c r="K63" i="22"/>
  <c r="V53" i="22"/>
  <c r="K53" i="22"/>
  <c r="V43" i="22"/>
  <c r="K43" i="22"/>
  <c r="V33" i="22"/>
  <c r="K33" i="22"/>
  <c r="V13" i="22"/>
  <c r="K13" i="22"/>
  <c r="V3" i="22"/>
  <c r="K3" i="22"/>
  <c r="V63" i="23"/>
  <c r="K63" i="23"/>
  <c r="V53" i="23"/>
  <c r="K53" i="23"/>
  <c r="V43" i="23"/>
  <c r="K43" i="23"/>
  <c r="V33" i="23"/>
  <c r="K33" i="23"/>
  <c r="V13" i="23"/>
  <c r="K13" i="23"/>
  <c r="V3" i="23"/>
  <c r="K3" i="23"/>
  <c r="V63" i="21"/>
  <c r="K63" i="21"/>
  <c r="V53" i="21"/>
  <c r="K53" i="21"/>
  <c r="V43" i="21"/>
  <c r="K43" i="21"/>
  <c r="V33" i="21"/>
  <c r="K33" i="21"/>
  <c r="V13" i="21"/>
  <c r="K13" i="21"/>
  <c r="V3" i="21"/>
  <c r="K3" i="21"/>
  <c r="V63" i="17"/>
  <c r="K63" i="17"/>
  <c r="V53" i="17"/>
  <c r="K53" i="17"/>
  <c r="C55" i="17" s="1" a="1"/>
  <c r="C55" i="17" s="1"/>
  <c r="V43" i="17"/>
  <c r="K43" i="17"/>
  <c r="V33" i="17"/>
  <c r="K33" i="17"/>
  <c r="V13" i="17"/>
  <c r="K13" i="17"/>
  <c r="V3" i="17"/>
  <c r="K3" i="17"/>
  <c r="V63" i="20"/>
  <c r="K63" i="20"/>
  <c r="V53" i="20"/>
  <c r="K53" i="20"/>
  <c r="V43" i="20"/>
  <c r="K43" i="20"/>
  <c r="V33" i="20"/>
  <c r="K33" i="20"/>
  <c r="V13" i="20"/>
  <c r="K13" i="20"/>
  <c r="V3" i="20"/>
  <c r="V63" i="16"/>
  <c r="N65" i="16" s="1" a="1"/>
  <c r="N65" i="16" s="1"/>
  <c r="V53" i="16"/>
  <c r="V43" i="16"/>
  <c r="N45" i="16" s="1" a="1"/>
  <c r="N45" i="16" s="1"/>
  <c r="V33" i="16"/>
  <c r="V13" i="16"/>
  <c r="V3" i="16"/>
  <c r="N5" i="16" s="1" a="1"/>
  <c r="N5" i="16" s="1"/>
  <c r="K3" i="16"/>
  <c r="K63" i="16"/>
  <c r="K53" i="16"/>
  <c r="K43" i="16"/>
  <c r="K33" i="16"/>
  <c r="C35" i="16" s="1" a="1"/>
  <c r="C35" i="16" s="1"/>
  <c r="K13" i="16"/>
  <c r="C15" i="16" s="1" a="1"/>
  <c r="C15" i="16" s="1"/>
  <c r="N35" i="16" l="1" a="1"/>
  <c r="N35" i="16" s="1"/>
  <c r="N15" i="20" a="1"/>
  <c r="N15" i="20" s="1"/>
  <c r="C45" i="16" a="1"/>
  <c r="C45" i="16" s="1"/>
  <c r="C15" i="21" a="1"/>
  <c r="C15" i="21" s="1"/>
  <c r="C55" i="16" a="1"/>
  <c r="C55" i="16" s="1"/>
  <c r="N65" i="20" a="1"/>
  <c r="N65" i="20" s="1"/>
  <c r="N55" i="16" a="1"/>
  <c r="N55" i="16" s="1"/>
  <c r="C35" i="17" a="1"/>
  <c r="C35" i="17" s="1"/>
  <c r="N5" i="21" a="1"/>
  <c r="N5" i="21" s="1"/>
  <c r="N45" i="21" a="1"/>
  <c r="N45" i="21" s="1"/>
  <c r="C15" i="20" a="1"/>
  <c r="C15" i="20" s="1"/>
  <c r="C35" i="20" a="1"/>
  <c r="C35" i="20" s="1"/>
  <c r="N15" i="17" a="1"/>
  <c r="N15" i="17" s="1"/>
  <c r="N65" i="21" a="1"/>
  <c r="N65" i="21" s="1"/>
  <c r="C55" i="20" a="1"/>
  <c r="C55" i="20" s="1"/>
  <c r="N45" i="17" a="1"/>
  <c r="N45" i="17" s="1"/>
  <c r="C15" i="23" a="1"/>
  <c r="C15" i="23" s="1"/>
  <c r="C65" i="24" a="1"/>
  <c r="C65" i="24" s="1"/>
  <c r="N45" i="25" a="1"/>
  <c r="N45" i="25" s="1"/>
  <c r="N55" i="21" a="1"/>
  <c r="N55" i="21" s="1"/>
  <c r="C35" i="23" a="1"/>
  <c r="C35" i="23" s="1"/>
  <c r="N55" i="25" a="1"/>
  <c r="N55" i="25" s="1"/>
  <c r="C45" i="23" a="1"/>
  <c r="C45" i="23" s="1"/>
  <c r="N15" i="24" a="1"/>
  <c r="N15" i="24" s="1"/>
  <c r="N65" i="25" a="1"/>
  <c r="N65" i="25" s="1"/>
  <c r="N35" i="17" a="1"/>
  <c r="N35" i="17" s="1"/>
  <c r="C55" i="23" a="1"/>
  <c r="C55" i="23" s="1"/>
  <c r="N35" i="24" a="1"/>
  <c r="N35" i="24" s="1"/>
  <c r="C15" i="22" a="1"/>
  <c r="C15" i="22" s="1"/>
  <c r="N45" i="24" a="1"/>
  <c r="N45" i="24" s="1"/>
  <c r="N35" i="20" a="1"/>
  <c r="N35" i="20" s="1"/>
  <c r="N5" i="20" a="1"/>
  <c r="N5" i="20" s="1"/>
  <c r="N55" i="17" a="1"/>
  <c r="N55" i="17" s="1"/>
  <c r="C35" i="22" a="1"/>
  <c r="C35" i="22" s="1"/>
  <c r="N65" i="17" a="1"/>
  <c r="N65" i="17" s="1"/>
  <c r="N15" i="23" a="1"/>
  <c r="N15" i="23" s="1"/>
  <c r="N65" i="24" a="1"/>
  <c r="N65" i="24" s="1"/>
  <c r="C5" i="21" a="1"/>
  <c r="C5" i="21" s="1"/>
  <c r="C55" i="22" a="1"/>
  <c r="C55" i="22" s="1"/>
  <c r="N35" i="23" a="1"/>
  <c r="N35" i="23" s="1"/>
  <c r="C5" i="25" a="1"/>
  <c r="C5" i="25" s="1"/>
  <c r="C65" i="22" a="1"/>
  <c r="C65" i="22" s="1"/>
  <c r="N45" i="23" a="1"/>
  <c r="N45" i="23" s="1"/>
  <c r="C15" i="25" a="1"/>
  <c r="C15" i="25" s="1"/>
  <c r="N55" i="20" a="1"/>
  <c r="N55" i="20" s="1"/>
  <c r="C35" i="21" a="1"/>
  <c r="C35" i="21" s="1"/>
  <c r="N5" i="22" a="1"/>
  <c r="N5" i="22" s="1"/>
  <c r="C35" i="25" a="1"/>
  <c r="C35" i="25" s="1"/>
  <c r="N15" i="22" a="1"/>
  <c r="N15" i="22" s="1"/>
  <c r="N65" i="23" a="1"/>
  <c r="N65" i="23" s="1"/>
  <c r="C55" i="21" a="1"/>
  <c r="C55" i="21" s="1"/>
  <c r="N35" i="22" a="1"/>
  <c r="N35" i="22" s="1"/>
  <c r="C5" i="24" a="1"/>
  <c r="C5" i="24" s="1"/>
  <c r="C65" i="21" a="1"/>
  <c r="C65" i="21" s="1"/>
  <c r="N45" i="22" a="1"/>
  <c r="N45" i="22" s="1"/>
  <c r="C65" i="25" a="1"/>
  <c r="C65" i="25" s="1"/>
  <c r="N55" i="22" a="1"/>
  <c r="N55" i="22" s="1"/>
  <c r="C35" i="24" a="1"/>
  <c r="C35" i="24" s="1"/>
  <c r="N5" i="25" a="1"/>
  <c r="N5" i="25" s="1"/>
  <c r="C45" i="24" a="1"/>
  <c r="C45" i="24" s="1"/>
  <c r="N15" i="25" a="1"/>
  <c r="N15" i="25" s="1"/>
  <c r="N65" i="22" a="1"/>
  <c r="N65" i="22" s="1"/>
  <c r="C5" i="23" a="1"/>
  <c r="C5" i="23" s="1"/>
  <c r="C55" i="24" a="1"/>
  <c r="C55" i="24" s="1"/>
  <c r="N5" i="23" a="1"/>
  <c r="N5" i="23" s="1"/>
  <c r="N55" i="24" a="1"/>
  <c r="N55" i="24" s="1"/>
  <c r="C45" i="22" a="1"/>
  <c r="C45" i="22" s="1"/>
  <c r="N5" i="17" a="1"/>
  <c r="N5" i="17" s="1"/>
  <c r="C55" i="25" a="1"/>
  <c r="C55" i="25" s="1"/>
  <c r="C15" i="17" a="1"/>
  <c r="C15" i="17" s="1"/>
  <c r="C5" i="22" a="1"/>
  <c r="C5" i="22" s="1"/>
  <c r="N55" i="23" a="1"/>
  <c r="N55" i="23" s="1"/>
  <c r="C45" i="21" a="1"/>
  <c r="C45" i="21" s="1"/>
  <c r="C45" i="25" a="1"/>
  <c r="C45" i="25" s="1"/>
  <c r="C15" i="24" a="1"/>
  <c r="C15" i="24" s="1"/>
  <c r="N35" i="21" a="1"/>
  <c r="N35" i="21" s="1"/>
  <c r="N35" i="25" a="1"/>
  <c r="N35" i="25" s="1"/>
  <c r="N5" i="24" a="1"/>
  <c r="N5" i="24" s="1"/>
  <c r="C65" i="23" a="1"/>
  <c r="C65" i="23" s="1"/>
  <c r="CS50" i="18"/>
  <c r="CR50" i="18"/>
  <c r="CQ50" i="18"/>
  <c r="CP50" i="18"/>
  <c r="CS49" i="18"/>
  <c r="CR49" i="18"/>
  <c r="CQ49" i="18"/>
  <c r="CP49" i="18"/>
  <c r="CS48" i="18"/>
  <c r="CR48" i="18"/>
  <c r="CQ48" i="18"/>
  <c r="CP48" i="18"/>
  <c r="CS47" i="18"/>
  <c r="CR47" i="18"/>
  <c r="CQ47" i="18"/>
  <c r="CP47" i="18"/>
  <c r="CS46" i="18"/>
  <c r="CR46" i="18"/>
  <c r="CQ46" i="18"/>
  <c r="CP46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<sst xmlns="http://schemas.openxmlformats.org/spreadsheetml/2006/main" count="10990" uniqueCount="709">
  <si>
    <t>SAMPLEMISS_1 - SAMPLEMISS_100 [NOMISS_V3]</t>
  </si>
  <si>
    <t>[PROC GEE][IND CORR][NO MI][NRadjClass][NOMISS V3][bghhsub_s2_v3_nr]</t>
  </si>
  <si>
    <t>Effect</t>
  </si>
  <si>
    <t>True Value</t>
  </si>
  <si>
    <t>Estimate</t>
  </si>
  <si>
    <t>Empirical Bias</t>
  </si>
  <si>
    <t>Relative Bias</t>
  </si>
  <si>
    <t>Empirical SE</t>
  </si>
  <si>
    <t>Estimated SE</t>
  </si>
  <si>
    <t>Relative SE difference</t>
  </si>
  <si>
    <t>Coverage</t>
  </si>
  <si>
    <t>P(reject H0)</t>
  </si>
  <si>
    <t>Intercept</t>
  </si>
  <si>
    <t>age_strat_new</t>
  </si>
  <si>
    <t>x12</t>
  </si>
  <si>
    <t>x17</t>
  </si>
  <si>
    <t>x18</t>
  </si>
  <si>
    <t>x6</t>
  </si>
  <si>
    <t>y_bmi</t>
  </si>
  <si>
    <t>[PROC GENMOD][IND CORR][NO MI][NRadjClass][NOMISS V3][bghhsub_s2_v3_nr]</t>
  </si>
  <si>
    <t>POPFILE</t>
  </si>
  <si>
    <t>[PROC GENMOD][IND CORR]</t>
  </si>
  <si>
    <t>[PROC GENMOD][EXCH CORR]</t>
  </si>
  <si>
    <t>Parameter</t>
  </si>
  <si>
    <t>Standard</t>
  </si>
  <si>
    <t>95% Confidence Limits</t>
  </si>
  <si>
    <t>Z</t>
  </si>
  <si>
    <t>Pr &gt; |Z|</t>
  </si>
  <si>
    <t>Error</t>
  </si>
  <si>
    <t>&lt;.0001</t>
  </si>
  <si>
    <t>[PROC GEE][IND CORR]</t>
  </si>
  <si>
    <t>[PROC GEE][EXCH CORR]</t>
  </si>
  <si>
    <t>SAMPLEMISS_1</t>
  </si>
  <si>
    <t>[PROC GEE][IND CORR][NO MI][NRadjClass][bghhsub_s2]</t>
  </si>
  <si>
    <t>[PROC GEE][EXCH CORR][NO MI][NRadjClass][bghhsub_s2]</t>
  </si>
  <si>
    <t>Parm</t>
  </si>
  <si>
    <t>StdErr</t>
  </si>
  <si>
    <t>LowerCL</t>
  </si>
  <si>
    <t>UpperCL</t>
  </si>
  <si>
    <t>ProbZ</t>
  </si>
  <si>
    <t>[PROC GENMOD][IND CORR][NO MI][NRadjClass][bghhsub_s2]</t>
  </si>
  <si>
    <t>[PROC GENMOD][EXCH CORR][NO MI][NRadjClass][bghhsub_s2]</t>
  </si>
  <si>
    <t>[PROC GEE][IND CORR][MI][NRadjClass][bghhsub_s2]</t>
  </si>
  <si>
    <t>[PROC GEE][EXCH CORR][MI][NRadjClass][bghhsub_s2]</t>
  </si>
  <si>
    <t>NImpute</t>
  </si>
  <si>
    <t>LOWERCL</t>
  </si>
  <si>
    <t>UPPERCL</t>
  </si>
  <si>
    <t>DF</t>
  </si>
  <si>
    <t>Min</t>
  </si>
  <si>
    <t>Max</t>
  </si>
  <si>
    <t>Theta0</t>
  </si>
  <si>
    <t>tValue</t>
  </si>
  <si>
    <t>Probt</t>
  </si>
  <si>
    <t>intercept</t>
  </si>
  <si>
    <t>[PROC GENMOD][IND CORR][MI][NRadjClass][bghhsub_s2]</t>
  </si>
  <si>
    <t>[PROC GENMOD][EXCH CORR][MI][NRadjClass][bghhsub_s2]</t>
  </si>
  <si>
    <t>[SUDAAN][EXCH CORR]</t>
  </si>
  <si>
    <t>SAMPLEMISS_1 [NOMISS_V3]</t>
  </si>
  <si>
    <t>[PROC GEE][EXCH CORR][NO MI][NRadjClass][NOMISS V3][bghhsub_s2_v3_nr]</t>
  </si>
  <si>
    <t>[PROC GENMOD][EXCH CORR][NO MI][NRadjClass][NOMISS V3][bghhsub_s2_v3_nr]</t>
  </si>
  <si>
    <t>[PROC GEE][IND CORR][MI][NRadjClass][NOMISS V3][bghhsub_s2]</t>
  </si>
  <si>
    <t>[PROC GEE][EXCH CORR][MI][NRadjClass][NOMISS V3][bghhsub_s2]</t>
  </si>
  <si>
    <t>[PROC GENMOD][IND CORR][MI][NRadjClass][NOMISS V3][bghhsub_s2]</t>
  </si>
  <si>
    <t>[PROC GENMOD][EXCH CORR][MI][NRadjClass][NOMISS V3][bghhsub_s2]</t>
  </si>
  <si>
    <t>[SUDAAN][EXCH CORR][NOMISS V3]</t>
  </si>
  <si>
    <t>[IND CORR]</t>
  </si>
  <si>
    <t>[EXCH CORR]</t>
  </si>
  <si>
    <t>[MI]</t>
  </si>
  <si>
    <t>[NO MI]</t>
  </si>
  <si>
    <t>[MI]
[NOMISS V3]</t>
  </si>
  <si>
    <t>[NO MI]
[NOMISS V3]</t>
  </si>
  <si>
    <t>[PROC GENMOD][IND CORR][MI][Logistic RR][NOMISS V3][bghhsub_s2]</t>
  </si>
  <si>
    <t>[PROC GENMOD][EXCH CORR][MI][Logistic RR][NOMISS V3][bghhsub_s2][SUDAAN TRUE]</t>
  </si>
  <si>
    <t>[PROC GENMOD][EXCH CORR][MI][Logistic RR][NOMISS V3][bghhsub_s2_v3_nr][SUDAAN TRUE]</t>
  </si>
  <si>
    <t>[PROC GENMOD][IND CORR][MI][Logistic RR][NOMISS V3][bghhsub_s2_v3_nr]</t>
  </si>
  <si>
    <t>[PROC GENMOD][EXCH CORR][MI][Logistic RR][NOMISS V3][bghhsub_s2_v3_nr]</t>
  </si>
  <si>
    <t>GEE-Based True Values (SAMPLEMISS_1 - SAMPLEMISS_1000)</t>
  </si>
  <si>
    <t>SUDAAN-Based True Values (SAMPLEMISS_1 - SAMPLEMISS_1000)</t>
  </si>
  <si>
    <t>[PROC GENMOD][IND CORR][MI][Logistic RR][bghhsub_s2]</t>
  </si>
  <si>
    <t>[PROC GENMOD][EXCH CORR][MI][Logistic RR][bghhsub_s2]</t>
  </si>
  <si>
    <t>[PROC GENMOD][IND CORR][MI][Logistic RR][bghhsub_s2][SUDAAN TRUE]</t>
  </si>
  <si>
    <t>[PROC GENMOD][EXCH CORR][MI][Logistic RR][bghhsub_s2][SUDAAN TRUE]</t>
  </si>
  <si>
    <t>[PROC GENMOD][IND CORR][NO MI][Logistic RR][bghhsub_s2]</t>
  </si>
  <si>
    <t>[PROC GENMOD][EXCH CORR][NO MI][Logistic RR][bghhsub_s2]</t>
  </si>
  <si>
    <t>[PROC GENMOD][IND CORR][NO MI][Logistic RR][bghhsub_s2][SUDAAN TRUE]</t>
  </si>
  <si>
    <t>[PROC GENMOD][EXCH CORR][NO MI][Logistic RR][bghhsub_s2][SUDAAN TRUE]</t>
  </si>
  <si>
    <t>[PROC GENMOD][EXCH CORR][MI][Logistic RR][NOMISS V3][bghhsub_s2]</t>
  </si>
  <si>
    <t>[PROC GENMOD][IND CORR][MI][Logistic RR][NOMISS V3][bghhsub_s2][SUDAAN TRUE]</t>
  </si>
  <si>
    <t>[PROC GENMOD][IND CORR][NO MI][Logistic RR][NOMISS V3][bghhsub_s2_v3_nr]</t>
  </si>
  <si>
    <t>[PROC GENMOD][EXCH CORR][NO MI][Logistic RR][NOMISS V3][bghhsub_s2_v3_nr]</t>
  </si>
  <si>
    <t>[PROC GENMOD][IND CORR][NO MI][Logistic RR][NOMISS V3][bghhsub_s2_v3_nr][SUDAAN TRUE]</t>
  </si>
  <si>
    <t>[PROC GENMOD][EXCH CORR][NO MI][Logistic RR][NOMISS V3][bghhsub_s2_v3_nr][SUDAAN TRUE]</t>
  </si>
  <si>
    <t>[PROC GENMOD][IND CORR][MI][Logistic RR][NOMISS][bghhsub_s2_v3_nr]</t>
  </si>
  <si>
    <t>[PROC GENMOD][EXCH CORR][MI][Logistic RR][NOMISS][bghhsub_s2_v3_nr]</t>
  </si>
  <si>
    <t>[PROC GENMOD][EXCH CORR][MI][Logistic RR][NOMISS][bghhsub_s2_v3_nr][SUDAAN TRUE]</t>
  </si>
  <si>
    <t>[PROC GENMOD][IND CORR][MI][Logistic RR][NOMISS V3][bghhsub_s2_v3_nr][SUDAAN TRUE]</t>
  </si>
  <si>
    <t>[PROC GENMOD][IND CORR][MI][Logistic RR][NOMISS][bghhsub_s2_v3_nr][SUDAAN TRUE]</t>
  </si>
  <si>
    <t>[MI]
[NOMISS]</t>
  </si>
  <si>
    <t>[NO MI]
[NOMISS]</t>
  </si>
  <si>
    <t>IPW weights in MI step</t>
  </si>
  <si>
    <t>V1 weights in fitting step</t>
  </si>
  <si>
    <t>IPW weights = base weights / RR</t>
  </si>
  <si>
    <t>RR = visit-specific missing prob calculated from Logistic</t>
  </si>
  <si>
    <t>2.1: use visit-level IPW weights instead of V1 weights</t>
  </si>
  <si>
    <t>V3 sample + V3 IPW weights in fitting</t>
  </si>
  <si>
    <t>V3 sample + MI (with v1, v2, v3, IPW weights) + v3 IPW weights in fitting</t>
  </si>
  <si>
    <t>[PROC GENMOD][IND CORR][MI][RR_glm][NOMISS V3][bghhsub_s2]</t>
  </si>
  <si>
    <t>[PROC GENMOD][EXCH CORR][MI][RR_glm][NOMISS V3][bghhsub_s2]</t>
  </si>
  <si>
    <t>[PROC GENMOD][IND CORR][MI][RR_glm][NOMISS V3][bghhsub_s2][SUDAAN TRUE]</t>
  </si>
  <si>
    <t>[PROC GENMOD][EXCH CORR][MI][RR_glm][NOMISS V3][bghhsub_s2][SUDAAN TRUE]</t>
  </si>
  <si>
    <t>[PROC GENMOD][IND CORR][MI][RR_NRadj][NOMISS V3][bghhsub_s2]</t>
  </si>
  <si>
    <t>[PROC GENMOD][EXCH CORR][MI][RR_NRadj][NOMISS V3][bghhsub_s2]</t>
  </si>
  <si>
    <t>[PROC GENMOD][IND CORR][MI][RR_NRadj][NOMISS V3][bghhsub_s2][SUDAAN TRUE]</t>
  </si>
  <si>
    <t>[PROC GENMOD][EXCH CORR][MI][RR_NRadj][NOMISS V3][bghhsub_s2][SUDAAN TRUE]</t>
  </si>
  <si>
    <t>[5][PROC GENMOD][IND CORR][MI][RR_NRadj][bghhsub_s2_nr][SUDAAN TRUE]</t>
  </si>
  <si>
    <t>[5][PROC GENMOD][EXCH CORR][MI][RR_NRadj][bghhsub_s2_nr][SUDAAN TRUE]</t>
  </si>
  <si>
    <t>[6][PROC GENMOD][IND CORR][NO MI][RR_NRadj][bghhsub_s2_nr][SUDAAN TRUE]</t>
  </si>
  <si>
    <t>[6][PROC GENMOD][EXCH CORR][NO MI][RR_NRadj][bghhsub_s2_nr][SUDAAN TRUE]</t>
  </si>
  <si>
    <t>[MI]
[IPW]</t>
  </si>
  <si>
    <t>[NO MI]
[IPW]</t>
  </si>
  <si>
    <t>[5][PROC GENMOD][IND CORR][MI][RR_glm][bghhsub_s2_nr][SUDAAN TRUE]</t>
  </si>
  <si>
    <t>[6][PROC GENMOD][IND CORR][NO MI][RR_glm][bghhsub_s2_nr][SUDAAN TRUE]</t>
  </si>
  <si>
    <t>[6][PROC GENMOD][EXCH CORR][NO MI][RR_glm][bghhsub_s2_nr][SUDAAN TRUE]</t>
  </si>
  <si>
    <t>[5][PROC GENMOD][EXCH CORR][MI][RR_glm][bghhsub_s2_nr][SUDAAN TRUE]</t>
  </si>
  <si>
    <t>[4][PROC GENMOD][IND CORR][NO MI][RR_glm][NOMISS V3][bghhsub_s2_v3_nr][SUDAAN TRUE]</t>
  </si>
  <si>
    <t>[4][PROC GENMOD][EXCH CORR][NO MI][RR_glm][NOMISS V3][bghhsub_s2_v3_nr][SUDAAN TRUE]</t>
  </si>
  <si>
    <t>[3][PROC GENMOD][EXCH CORR][MI][RR_glm][NOMISS V3][bghhsub_s2_v3_nr][SUDAAN TRUE]</t>
  </si>
  <si>
    <t>[3][PROC GENMOD][IND CORR][MI][RR_glm][NOMISS V3][bghhsub_s2_v3_nr][SUDAAN TRUE]</t>
  </si>
  <si>
    <t>[2][PROC GENMOD][IND CORR][NO MI][RR_glm][bghhsub_s2][SUDAAN TRUE]</t>
  </si>
  <si>
    <t>[2][PROC GENMOD][EXCH CORR][NO MI][RR_glm][bghhsub_s2][SUDAAN TRUE]</t>
  </si>
  <si>
    <t>[1][PROC GENMOD][EXCH CORR][MI][RR_glm][bghhsub_s2][SUDAAN TRUE]</t>
  </si>
  <si>
    <t>[1][PROC GENMOD][IND CORR][MI][RR_glm][bghhsub_s2][SUDAAN TRUE]</t>
  </si>
  <si>
    <t>[1][PROC GENMOD][IND CORR][MI][RR_NRadj][bghhsub_s2][SUDAAN TRUE]</t>
  </si>
  <si>
    <t>[1][PROC GENMOD][EXCH CORR][MI][RR_NRadj][bghhsub_s2][SUDAAN TRUE]</t>
  </si>
  <si>
    <t>[2][PROC GENMOD][EXCH CORR][NO MI][RR_NRadj][bghhsub_s2][SUDAAN TRUE]</t>
  </si>
  <si>
    <t>[2][PROC GENMOD][IND CORR][NO MI][RR_NRadj][bghhsub_s2][SUDAAN TRUE]</t>
  </si>
  <si>
    <t>[3][PROC GENMOD][IND CORR][MI][RR_NRadj][NOMISS V3][bghhsub_s2_v3_nr][SUDAAN TRUE]</t>
  </si>
  <si>
    <t>[3][PROC GENMOD][EXCH CORR][MI][RR_NRadj][NOMISS V3][bghhsub_s2_v3_nr][SUDAAN TRUE]</t>
  </si>
  <si>
    <t>[4][PROC GENMOD][EXCH CORR][NO MI][RR_NRadj][NOMISS V3][bghhsub_s2_v3_nr][SUDAAN TRUE]</t>
  </si>
  <si>
    <t>[4][PROC GENMOD][IND CORR][NO MI][RR_NRadj][NOMISS V3][bghhsub_s2_v3_nr][SUDAAN TRUE]</t>
  </si>
  <si>
    <t>RR_glm</t>
  </si>
  <si>
    <t>RR_Nradj</t>
  </si>
  <si>
    <t>EXCH</t>
  </si>
  <si>
    <t>IND</t>
  </si>
  <si>
    <t>MI</t>
  </si>
  <si>
    <t>NO MI</t>
  </si>
  <si>
    <t>Method</t>
  </si>
  <si>
    <t>1. MI + V1 Weight (Full Sample)</t>
  </si>
  <si>
    <t>2. No MI + V1 Weight (Full Sample)</t>
  </si>
  <si>
    <t>3. MI + V3 Adjusted Weight (Restricted Sample)</t>
  </si>
  <si>
    <t>4. No MI + V3 Adjusted Weight (Restricted Sample)</t>
  </si>
  <si>
    <t>5. MI + Visit-specific Weights (Full Sample)</t>
  </si>
  <si>
    <t>6. No MI +  Visit-specific Weights (Full Sample)</t>
  </si>
  <si>
    <t>GENMOD</t>
  </si>
  <si>
    <t>GEE</t>
  </si>
  <si>
    <t>Weights</t>
  </si>
  <si>
    <t>Corr</t>
  </si>
  <si>
    <t>MI/NOMI</t>
  </si>
  <si>
    <t>PROC</t>
  </si>
  <si>
    <t>SUFFIX</t>
  </si>
  <si>
    <t>1A</t>
  </si>
  <si>
    <t>1B</t>
  </si>
  <si>
    <t>2A</t>
  </si>
  <si>
    <t>3A</t>
  </si>
  <si>
    <t>4A</t>
  </si>
  <si>
    <t>2B</t>
  </si>
  <si>
    <t>2C</t>
  </si>
  <si>
    <t>2D</t>
  </si>
  <si>
    <t>3B</t>
  </si>
  <si>
    <t>4B</t>
  </si>
  <si>
    <t>4C</t>
  </si>
  <si>
    <t>4D</t>
  </si>
  <si>
    <t>5A</t>
  </si>
  <si>
    <t>5B</t>
  </si>
  <si>
    <t>6A</t>
  </si>
  <si>
    <t>6B</t>
  </si>
  <si>
    <t>6C</t>
  </si>
  <si>
    <t>6D</t>
  </si>
  <si>
    <t>age_base, x12, x14, strata1, strata2, strata3</t>
  </si>
  <si>
    <t>v2_miss_mar</t>
  </si>
  <si>
    <t>v3_miss_mar</t>
  </si>
  <si>
    <t>age_base, x12, x14, strata1, strata2, strata3, v2_miss_mar</t>
  </si>
  <si>
    <t>_TYPE_</t>
  </si>
  <si>
    <t>_FREQ_</t>
  </si>
  <si>
    <t>p20</t>
  </si>
  <si>
    <t>p40</t>
  </si>
  <si>
    <t>p60</t>
  </si>
  <si>
    <t>p80</t>
  </si>
  <si>
    <t>strat</t>
  </si>
  <si>
    <t>BGid</t>
  </si>
  <si>
    <t>hhid</t>
  </si>
  <si>
    <t>subid</t>
  </si>
  <si>
    <t>v_num</t>
  </si>
  <si>
    <t>hisp_strat</t>
  </si>
  <si>
    <t>age_base</t>
  </si>
  <si>
    <t>age_strat</t>
  </si>
  <si>
    <t>x0</t>
  </si>
  <si>
    <t>x1</t>
  </si>
  <si>
    <t>x2</t>
  </si>
  <si>
    <t>x3</t>
  </si>
  <si>
    <t>x4</t>
  </si>
  <si>
    <t>x6_1</t>
  </si>
  <si>
    <t>x8</t>
  </si>
  <si>
    <t>x13</t>
  </si>
  <si>
    <t>x14</t>
  </si>
  <si>
    <t>x15</t>
  </si>
  <si>
    <t>y_bmi_1</t>
  </si>
  <si>
    <t>y_gfr_1</t>
  </si>
  <si>
    <t>y_bin_gfr</t>
  </si>
  <si>
    <t>W_bg</t>
  </si>
  <si>
    <t>W_hh</t>
  </si>
  <si>
    <t>W_sub</t>
  </si>
  <si>
    <t>W_bghhsub</t>
  </si>
  <si>
    <t>W_bghh</t>
  </si>
  <si>
    <t>W_hhsub</t>
  </si>
  <si>
    <t>bghhsub_s2</t>
  </si>
  <si>
    <t>sub_s1</t>
  </si>
  <si>
    <t>sub_s2</t>
  </si>
  <si>
    <t>hh_s1</t>
  </si>
  <si>
    <t>hh_s2</t>
  </si>
  <si>
    <t>hhsub_s1</t>
  </si>
  <si>
    <t>hhsub_s2</t>
  </si>
  <si>
    <t>miss_ind</t>
  </si>
  <si>
    <t>miss_score</t>
  </si>
  <si>
    <t>miss_ind_mar</t>
  </si>
  <si>
    <t>miss_score_mar</t>
  </si>
  <si>
    <t>RR</t>
  </si>
  <si>
    <t>dat_num</t>
  </si>
  <si>
    <t>logwt</t>
  </si>
  <si>
    <t>w_nr_1</t>
  </si>
  <si>
    <t>strat_c4</t>
  </si>
  <si>
    <t>hisp_strat_new</t>
  </si>
  <si>
    <t>hisp_age</t>
  </si>
  <si>
    <t>age_wt</t>
  </si>
  <si>
    <t>his_wt</t>
  </si>
  <si>
    <t>age_str_1</t>
  </si>
  <si>
    <t>age_str_2</t>
  </si>
  <si>
    <t>age_str_3</t>
  </si>
  <si>
    <t>his_str_1</t>
  </si>
  <si>
    <t>his_str_2</t>
  </si>
  <si>
    <t>his_str_3</t>
  </si>
  <si>
    <t>age_his_str_1</t>
  </si>
  <si>
    <t>age_his_str_2</t>
  </si>
  <si>
    <t>age_his_str_3</t>
  </si>
  <si>
    <t>strat_1</t>
  </si>
  <si>
    <t>strat_2</t>
  </si>
  <si>
    <t>strat_3</t>
  </si>
  <si>
    <t>strat_wt_1</t>
  </si>
  <si>
    <t>strat_wt_2</t>
  </si>
  <si>
    <t>strat_wt_3</t>
  </si>
  <si>
    <t>x6_2</t>
  </si>
  <si>
    <t>y_bmi_2</t>
  </si>
  <si>
    <t>y_gfr_2</t>
  </si>
  <si>
    <t>w_nr_2</t>
  </si>
  <si>
    <t>x6_3</t>
  </si>
  <si>
    <t>y_bmi_3</t>
  </si>
  <si>
    <t>y_gfr_3</t>
  </si>
  <si>
    <t>w_nr_3</t>
  </si>
  <si>
    <t>v2miss</t>
  </si>
  <si>
    <t>v3miss</t>
  </si>
  <si>
    <t>age_x17</t>
  </si>
  <si>
    <t>inverse_weight</t>
  </si>
  <si>
    <t>logw</t>
  </si>
  <si>
    <t>weight_cat</t>
  </si>
  <si>
    <t>w_nr_* not imputed</t>
  </si>
  <si>
    <t>Result</t>
  </si>
  <si>
    <t>VAR</t>
  </si>
  <si>
    <t>FCS</t>
  </si>
  <si>
    <t>neither</t>
  </si>
  <si>
    <t>just fcs</t>
  </si>
  <si>
    <t>ERROR: The variable w_nr_1 in the FCS statement is not in the VAR list.</t>
  </si>
  <si>
    <t>just var</t>
  </si>
  <si>
    <t>WARNING: Between-imputation variance is zero for variable *</t>
  </si>
  <si>
    <t>both</t>
  </si>
  <si>
    <t>_Imputation_</t>
  </si>
  <si>
    <t>RR_NRadj</t>
  </si>
  <si>
    <t>just var case</t>
  </si>
  <si>
    <t>both case</t>
  </si>
  <si>
    <t>w_nr_* imputed with reg anyways</t>
  </si>
  <si>
    <t>w_nr_* imputed same as 'just var' case</t>
  </si>
  <si>
    <t>typically, w_nr_* is in &amp;mivar =&gt; w_nr_* is in &amp;var =&gt; w_nr_* is imputed</t>
  </si>
  <si>
    <t>w_nr_* is in the beginning of the VAR statement =&gt; w_nr_* imputed first?</t>
  </si>
  <si>
    <t>just var case (w_nr_* at end of statement)</t>
  </si>
  <si>
    <t>moving w_nr_* to end of VAR statement changes imputations but still outputs imputed results</t>
  </si>
  <si>
    <t>var age_strat_new x12 x14 x17 x18 x6_2 x6_3 y_bmi_1 y_bmi_2 y_bmi_3 y_gfr_1 y_gfr_2 y_gfr_3;</t>
  </si>
  <si>
    <t>var age_strat_new w_nr_1 w_nr_2 w_nr_3 x12 x14 x17 x18 x6_2 x6_3 y_bmi_1 y_bmi_2 y_bmi_3 y_gfr_1 y_gfr_2 y_gfr_3;</t>
  </si>
  <si>
    <t>fcs reg(x6_2-x6_3 y_gfr_2-y_gfr_3 y_bmi_2-y_bmi_3);</t>
  </si>
  <si>
    <t>fcs reg(x6_2-x6_3 y_gfr_2-y_gfr_3 y_bmi_2-y_bmi_3 w_nr_1-w_nr_3);</t>
  </si>
  <si>
    <t>fcs reg(x6_2-x6_3 y_gfr_2-y_gfr_3 y_bmi_2-y_bmi_3) same as fcs reg(w_nr_1-w_nr_3)</t>
  </si>
  <si>
    <t>Analysis Variable : w_nr</t>
  </si>
  <si>
    <t>N Obs</t>
  </si>
  <si>
    <t>N</t>
  </si>
  <si>
    <t>Minimum</t>
  </si>
  <si>
    <t>Maximum</t>
  </si>
  <si>
    <t>Median</t>
  </si>
  <si>
    <t>Mean</t>
  </si>
  <si>
    <t>Basic imputation</t>
  </si>
  <si>
    <t>MIN/MAX imputation</t>
  </si>
  <si>
    <t>Categorical imputation</t>
  </si>
  <si>
    <t>Categorical quantile weights imputation</t>
  </si>
  <si>
    <t>ERROR: An imputed variable value is not in the specified range after 100 tries.</t>
  </si>
  <si>
    <t>At least not with FCS reg method</t>
  </si>
  <si>
    <t>Minimum higher than -11.5 for v2 weight won't run successfully</t>
  </si>
  <si>
    <t>ERROR: The SAS System stopped processing this step because of insufficient memory.</t>
  </si>
  <si>
    <t>REGPMM (predictive mean matching method for continuous variables)</t>
  </si>
  <si>
    <t>[5][PROC GENMOD][IND CORR][MI REGPMM][RR_glm][bghhsub_s2_nr][SUDAAN TRUE]</t>
  </si>
  <si>
    <t>[1][PROC GENMOD][IND CORR][MI][RR_glm_strat][bghhsub_s2][SUDAAN TRUE]</t>
  </si>
  <si>
    <t>[1][PROC GENMOD][EXCH CORR][MI][RR_glm_strat][bghhsub_s2][SUDAAN TRUE]</t>
  </si>
  <si>
    <t>[2][PROC GENMOD][IND CORR][NO MI][RR_glm_strat][bghhsub_s2][SUDAAN TRUE]</t>
  </si>
  <si>
    <t>[2][PROC GENMOD][EXCH CORR][NO MI][RR_glm_strat][bghhsub_s2][SUDAAN TRUE]</t>
  </si>
  <si>
    <t>[PROC GENMOD][IND CORR][MI][RR_glm_strat][NOMISS V3][bghhsub_s2]</t>
  </si>
  <si>
    <t>[PROC GENMOD][EXCH CORR][MI][RR_glm_strat][NOMISS V3][bghhsub_s2]</t>
  </si>
  <si>
    <t>[PROC GENMOD][IND CORR][MI][RR_glm_strat][NOMISS V3][bghhsub_s2][SUDAAN TRUE]</t>
  </si>
  <si>
    <t>[PROC GENMOD][EXCH CORR][MI][RR_glm_strat][NOMISS V3][bghhsub_s2][SUDAAN TRUE]</t>
  </si>
  <si>
    <t>[3][PROC GENMOD][IND CORR][MI][RR_glm_strat][NOMISS V3][bghhsub_s2_v3_nr][SUDAAN TRUE]</t>
  </si>
  <si>
    <t>[3][PROC GENMOD][EXCH CORR][MI][RR_glm_strat][NOMISS V3][bghhsub_s2_v3_nr][SUDAAN TRUE]</t>
  </si>
  <si>
    <t>[4][PROC GENMOD][IND CORR][NO MI][RR_glm_strat][NOMISS V3][bghhsub_s2_v3_nr][SUDAAN TRUE]</t>
  </si>
  <si>
    <t>[4][PROC GENMOD][EXCH CORR][NO MI][RR_glm_strat][NOMISS V3][bghhsub_s2_v3_nr][SUDAAN TRUE]</t>
  </si>
  <si>
    <t>[5][PROC GENMOD][IND CORR][MI][RR_glm_strat][bghhsub_s2_nr][SUDAAN TRUE]</t>
  </si>
  <si>
    <t>[5][PROC GENMOD][EXCH CORR][MI][RR_glm_strat][bghhsub_s2_nr][SUDAAN TRUE]</t>
  </si>
  <si>
    <t>[6][PROC GENMOD][IND CORR][NO MI][RR_glm_strat][bghhsub_s2_nr][SUDAAN TRUE]</t>
  </si>
  <si>
    <t>[6][PROC GENMOD][EXCH CORR][NO MI][RR_glm_strat][bghhsub_s2_nr][SUDAAN TRUE]</t>
  </si>
  <si>
    <t>[1][PROC GENMOD][IND CORR][MI][RR_NRadj_strat][bghhsub_s2][SUDAAN TRUE]</t>
  </si>
  <si>
    <t>[1][PROC GENMOD][EXCH CORR][MI][RR_NRadj_strat][bghhsub_s2][SUDAAN TRUE]</t>
  </si>
  <si>
    <t>[2][PROC GENMOD][IND CORR][NO MI][RR_NRadj_strat][bghhsub_s2][SUDAAN TRUE]</t>
  </si>
  <si>
    <t>[2][PROC GENMOD][EXCH CORR][NO MI][RR_NRadj_strat][bghhsub_s2][SUDAAN TRUE]</t>
  </si>
  <si>
    <t>[PROC GENMOD][IND CORR][MI][RR_NRadj_strat][NOMISS V3][bghhsub_s2]</t>
  </si>
  <si>
    <t>[PROC GENMOD][EXCH CORR][MI][RR_NRadj_strat][NOMISS V3][bghhsub_s2]</t>
  </si>
  <si>
    <t>[PROC GENMOD][IND CORR][MI][RR_NRadj_strat][NOMISS V3][bghhsub_s2][SUDAAN TRUE]</t>
  </si>
  <si>
    <t>[PROC GENMOD][EXCH CORR][MI][RR_NRadj_strat][NOMISS V3][bghhsub_s2][SUDAAN TRUE]</t>
  </si>
  <si>
    <t>[3][PROC GENMOD][IND CORR][MI][RR_NRadj_strat][NOMISS V3][bghhsub_s2_v3_nr][SUDAAN TRUE]</t>
  </si>
  <si>
    <t>[3][PROC GENMOD][EXCH CORR][MI][RR_NRadj_strat][NOMISS V3][bghhsub_s2_v3_nr][SUDAAN TRUE]</t>
  </si>
  <si>
    <t>[4][PROC GENMOD][IND CORR][NO MI][RR_NRadj_strat][NOMISS V3][bghhsub_s2_v3_nr][SUDAAN TRUE]</t>
  </si>
  <si>
    <t>[4][PROC GENMOD][EXCH CORR][NO MI][RR_NRadj_strat][NOMISS V3][bghhsub_s2_v3_nr][SUDAAN TRUE]</t>
  </si>
  <si>
    <t>[5][PROC GENMOD][IND CORR][MI][RR_NRadj_strat][bghhsub_s2_nr][SUDAAN TRUE]</t>
  </si>
  <si>
    <t>[5][PROC GENMOD][EXCH CORR][MI][RR_NRadj_strat][bghhsub_s2_nr][SUDAAN TRUE]</t>
  </si>
  <si>
    <t>[6][PROC GENMOD][IND CORR][NO MI][RR_NRadj_strat][bghhsub_s2_nr][SUDAAN TRUE]</t>
  </si>
  <si>
    <t>[6][PROC GENMOD][EXCH CORR][NO MI][RR_NRadj_strat][bghhsub_s2_nr][SUDAAN TRUE]</t>
  </si>
  <si>
    <t>group</t>
  </si>
  <si>
    <t>1C</t>
  </si>
  <si>
    <t>1D</t>
  </si>
  <si>
    <t>1E</t>
  </si>
  <si>
    <t>1F</t>
  </si>
  <si>
    <t>1G</t>
  </si>
  <si>
    <t>1H</t>
  </si>
  <si>
    <t>2E</t>
  </si>
  <si>
    <t>2F</t>
  </si>
  <si>
    <t>2I</t>
  </si>
  <si>
    <t>2J</t>
  </si>
  <si>
    <t>2M</t>
  </si>
  <si>
    <t>2N</t>
  </si>
  <si>
    <t>3C</t>
  </si>
  <si>
    <t>3D</t>
  </si>
  <si>
    <t>3E</t>
  </si>
  <si>
    <t>3F</t>
  </si>
  <si>
    <t>3G</t>
  </si>
  <si>
    <t>3H</t>
  </si>
  <si>
    <t>4E</t>
  </si>
  <si>
    <t>4F</t>
  </si>
  <si>
    <t>4I</t>
  </si>
  <si>
    <t>4J</t>
  </si>
  <si>
    <t>4M</t>
  </si>
  <si>
    <t>4N</t>
  </si>
  <si>
    <t>5C</t>
  </si>
  <si>
    <t>5D</t>
  </si>
  <si>
    <t>5E</t>
  </si>
  <si>
    <t>5F</t>
  </si>
  <si>
    <t>5G</t>
  </si>
  <si>
    <t>5H</t>
  </si>
  <si>
    <t>6E</t>
  </si>
  <si>
    <t>6F</t>
  </si>
  <si>
    <t>6I</t>
  </si>
  <si>
    <t>6J</t>
  </si>
  <si>
    <t>6M</t>
  </si>
  <si>
    <t>6N</t>
  </si>
  <si>
    <t>Method 1</t>
  </si>
  <si>
    <t>cont</t>
  </si>
  <si>
    <t>RR_glm_strat</t>
  </si>
  <si>
    <t>RR_NRadj_strat</t>
  </si>
  <si>
    <t>bin</t>
  </si>
  <si>
    <t>Method 2</t>
  </si>
  <si>
    <t>Method 3</t>
  </si>
  <si>
    <t>Method 4</t>
  </si>
  <si>
    <t>Method 5</t>
  </si>
  <si>
    <t>Method 6</t>
  </si>
  <si>
    <t>2G</t>
  </si>
  <si>
    <t>2H</t>
  </si>
  <si>
    <t>2K</t>
  </si>
  <si>
    <t>2L</t>
  </si>
  <si>
    <t>2O</t>
  </si>
  <si>
    <t>2P</t>
  </si>
  <si>
    <t>4G</t>
  </si>
  <si>
    <t>4H</t>
  </si>
  <si>
    <t>4K</t>
  </si>
  <si>
    <t>4L</t>
  </si>
  <si>
    <t>4O</t>
  </si>
  <si>
    <t>4P</t>
  </si>
  <si>
    <t>6G</t>
  </si>
  <si>
    <t>6H</t>
  </si>
  <si>
    <t>6K</t>
  </si>
  <si>
    <t>6L</t>
  </si>
  <si>
    <t>6O</t>
  </si>
  <si>
    <t>6P</t>
  </si>
  <si>
    <t xml:space="preserve">Method    </t>
  </si>
  <si>
    <t xml:space="preserve"> mitype </t>
  </si>
  <si>
    <t xml:space="preserve"> mi </t>
  </si>
  <si>
    <t xml:space="preserve"> v3only </t>
  </si>
  <si>
    <t xml:space="preserve"> RR                </t>
  </si>
  <si>
    <t xml:space="preserve"> proc   </t>
  </si>
  <si>
    <t xml:space="preserve"> suffix</t>
  </si>
  <si>
    <t xml:space="preserve">Method 1  </t>
  </si>
  <si>
    <t xml:space="preserve"> cont   </t>
  </si>
  <si>
    <t xml:space="preserve"> RR_glm            </t>
  </si>
  <si>
    <t xml:space="preserve">        </t>
  </si>
  <si>
    <t xml:space="preserve"> RR_NRadj          </t>
  </si>
  <si>
    <t xml:space="preserve"> RR_glm_strat      </t>
  </si>
  <si>
    <t xml:space="preserve"> RR_NRadj_strat    </t>
  </si>
  <si>
    <t xml:space="preserve"> bin    </t>
  </si>
  <si>
    <t xml:space="preserve">Method 2  </t>
  </si>
  <si>
    <t xml:space="preserve"> genmod </t>
  </si>
  <si>
    <t xml:space="preserve"> gee    </t>
  </si>
  <si>
    <t xml:space="preserve">Method 3  </t>
  </si>
  <si>
    <t xml:space="preserve">Method 4  </t>
  </si>
  <si>
    <t xml:space="preserve">Method 5  </t>
  </si>
  <si>
    <t xml:space="preserve">Method 6  </t>
  </si>
  <si>
    <t>UPDATED</t>
  </si>
  <si>
    <t>[1][PROC GENMOD][IND CORR][MI][RR_glm][bghhsub_s2]</t>
  </si>
  <si>
    <t>[1][PROC GENMOD][EXCH CORR][MI][RR_glm][bghhsub_s2]</t>
  </si>
  <si>
    <t>mitype</t>
  </si>
  <si>
    <t>mi</t>
  </si>
  <si>
    <t>v3only</t>
  </si>
  <si>
    <t>proc</t>
  </si>
  <si>
    <t>suffix</t>
  </si>
  <si>
    <t>Spec</t>
  </si>
  <si>
    <t>[1][PROC GENMOD][IND CORR][MI][RR_NRadj][bghhsub_s2]</t>
  </si>
  <si>
    <t>[1][PROC GENMOD][IND CORR][MI][RR_glm_strat][bghhsub_s2]</t>
  </si>
  <si>
    <t>[1][PROC GENMOD][IND CORR][MI][RR_NRadj_strat][bghhsub_s2]</t>
  </si>
  <si>
    <t>[1][PROC GENMOD][BINARY][IND CORR][MI][RR_glm][bghhsub_s2]</t>
  </si>
  <si>
    <t>[1][PROC GENMOD][BINARY][IND CORR][MI][RR_NRadj][bghhsub_s2]</t>
  </si>
  <si>
    <t>[1][PROC GENMOD][BINARY][IND CORR][MI][RR_glm_strat][bghhsub_s2]</t>
  </si>
  <si>
    <t>[1][PROC GENMOD][BINARY][IND CORR][MI][RR_NRadj_strat][bghhsub_s2]</t>
  </si>
  <si>
    <t>genmod</t>
  </si>
  <si>
    <t>[2][PROC GENMOD][IND CORR][NO MI][RR_glm][bghhsub_s2]</t>
  </si>
  <si>
    <t>[2][PROC GENMOD][IND CORR][NO MI][RR_NRadj][bghhsub_s2]</t>
  </si>
  <si>
    <t>gee</t>
  </si>
  <si>
    <t>[2][PROC GEE][IND CORR][NO MI][RR_glm][bghhsub_s2]</t>
  </si>
  <si>
    <t>[2][PROC GEE][IND CORR][NO MI][RR_NRadj][bghhsub_s2]</t>
  </si>
  <si>
    <t>[2][PROC GENMOD][IND CORR][NO MI][RR_glm_strat][bghhsub_s2]</t>
  </si>
  <si>
    <t>[2][PROC GENMOD][IND CORR][NO MI][RR_NRadj_strat][bghhsub_s2]</t>
  </si>
  <si>
    <t>[2][PROC GEE][IND CORR][NO MI][RR_glm_strat][bghhsub_s2]</t>
  </si>
  <si>
    <t>[2][PROC GEE][IND CORR][NO MI][RR_NRadj_strat][bghhsub_s2]</t>
  </si>
  <si>
    <t>[2][PROC GENMOD][BINARY][IND CORR][NO MI][RR_glm][bghhsub_s2]</t>
  </si>
  <si>
    <t>[2][PROC GENMOD][BINARY][IND CORR][NO MI][RR_NRadj][bghhsub_s2]</t>
  </si>
  <si>
    <t>[2][PROC GENMOD][BINARY][IND CORR][NO MI][RR_glm_strat][bghhsub_s2]</t>
  </si>
  <si>
    <t>[2][PROC GENMOD][BINARY][IND CORR][NO MI][RR_NRadj_strat][bghhsub_s2]</t>
  </si>
  <si>
    <t>[3][PROC GENMOD][IND CORR][MI][RR_glm][NOMISS V3][bghhsub_s2_v3_nr]</t>
  </si>
  <si>
    <t>[3][PROC GENMOD][IND CORR][MI][RR_NRadj][NOMISS V3][bghhsub_s2_v3_nr]</t>
  </si>
  <si>
    <t>[3][PROC GENMOD][IND CORR][MI][RR_glm_strat][NOMISS V3][bghhsub_s2_v3_nr]</t>
  </si>
  <si>
    <t>[3][PROC GENMOD][IND CORR][MI][RR_NRadj_strat][NOMISS V3][bghhsub_s2_v3_nr]</t>
  </si>
  <si>
    <t>[3][PROC GENMOD][BINARY][IND CORR][MI][RR_glm][NOMISS V3][bghhsub_s2_v3_nr]</t>
  </si>
  <si>
    <t>[3][PROC GENMOD][BINARY][IND CORR][MI][RR_NRadj][NOMISS V3][bghhsub_s2_v3_nr]</t>
  </si>
  <si>
    <t>[3][PROC GENMOD][BINARY][IND CORR][MI][RR_glm_strat][NOMISS V3][bghhsub_s2_v3_nr]</t>
  </si>
  <si>
    <t>[3][PROC GENMOD][BINARY][IND CORR][MI][RR_NRadj_strat][NOMISS V3][bghhsub_s2_v3_nr]</t>
  </si>
  <si>
    <t>[4][PROC GENMOD][IND CORR][NO MI][RR_glm][NOMISS V3][bghhsub_s2_v3_nr]</t>
  </si>
  <si>
    <t>[4][PROC GENMOD][IND CORR][NO MI][RR_NRadj][NOMISS V3][bghhsub_s2_v3_nr]</t>
  </si>
  <si>
    <t>[4][PROC GEE][IND CORR][NO MI][RR_glm][NOMISS V3][bghhsub_s2_v3_nr]</t>
  </si>
  <si>
    <t>[4][PROC GEE][IND CORR][NO MI][RR_NRadj][NOMISS V3][bghhsub_s2_v3_nr]</t>
  </si>
  <si>
    <t>[4][PROC GENMOD][IND CORR][NO MI][RR_glm_strat][NOMISS V3][bghhsub_s2_v3_nr]</t>
  </si>
  <si>
    <t>[4][PROC GENMOD][IND CORR][NO MI][RR_NRadj_strat][NOMISS V3][bghhsub_s2_v3_nr]</t>
  </si>
  <si>
    <t>[4][PROC GEE][IND CORR][NO MI][RR_glm_strat][NOMISS V3][bghhsub_s2_v3_nr]</t>
  </si>
  <si>
    <t>[4][PROC GEE][IND CORR][NO MI][RR_NRadj_strat][NOMISS V3][bghhsub_s2_v3_nr]</t>
  </si>
  <si>
    <t>[4][PROC GENMOD][BINARY][IND CORR][NO MI][RR_glm][NOMISS V3][bghhsub_s2_v3_nr]</t>
  </si>
  <si>
    <t>[4][PROC GENMOD][BINARY][IND CORR][NO MI][RR_NRadj][NOMISS V3][bghhsub_s2_v3_nr]</t>
  </si>
  <si>
    <t>[4][PROC GENMOD][BINARY][IND CORR][NO MI][RR_glm_strat][NOMISS V3][bghhsub_s2_v3_nr]</t>
  </si>
  <si>
    <t>[4][PROC GENMOD][BINARY][IND CORR][NO MI][RR_NRadj_strat][NOMISS V3][bghhsub_s2_v3_nr]</t>
  </si>
  <si>
    <t>[5][PROC GENMOD][IND CORR][MI][RR_glm][bghhsub_s2_nr]</t>
  </si>
  <si>
    <t>[5][PROC GENMOD][IND CORR][MI][RR_NRadj][bghhsub_s2_nr]</t>
  </si>
  <si>
    <t>[5][PROC GENMOD][IND CORR][MI][RR_glm_strat][bghhsub_s2_nr]</t>
  </si>
  <si>
    <t>[5][PROC GENMOD][IND CORR][MI][RR_NRadj_strat][bghhsub_s2_nr]</t>
  </si>
  <si>
    <t>[5][PROC GENMOD][BINARY][IND CORR][MI][RR_glm][bghhsub_s2_nr]</t>
  </si>
  <si>
    <t>[5][PROC GENMOD][BINARY][IND CORR][MI][RR_NRadj][bghhsub_s2_nr]</t>
  </si>
  <si>
    <t>[5][PROC GENMOD][BINARY][IND CORR][MI][RR_glm_strat][bghhsub_s2_nr]</t>
  </si>
  <si>
    <t>[5][PROC GENMOD][BINARY][IND CORR][MI][RR_NRadj_strat][bghhsub_s2_nr]</t>
  </si>
  <si>
    <t>[6][PROC GENMOD][IND CORR][NO MI][RR_glm][bghhsub_s2_nr]</t>
  </si>
  <si>
    <t>[6][PROC GENMOD][IND CORR][NO MI][RR_NRadj][bghhsub_s2_nr]</t>
  </si>
  <si>
    <t>[6][PROC GEE][IND CORR][NO MI][RR_glm][bghhsub_s2_nr]</t>
  </si>
  <si>
    <t>[6][PROC GEE][IND CORR][NO MI][RR_NRadj][bghhsub_s2_nr]</t>
  </si>
  <si>
    <t>[6][PROC GENMOD][IND CORR][NO MI][RR_glm_strat][bghhsub_s2_nr]</t>
  </si>
  <si>
    <t>[6][PROC GENMOD][IND CORR][NO MI][RR_NRadj_strat][bghhsub_s2_nr]</t>
  </si>
  <si>
    <t>[6][PROC GEE][IND CORR][NO MI][RR_glm_strat][bghhsub_s2_nr]</t>
  </si>
  <si>
    <t>[6][PROC GEE][IND CORR][NO MI][RR_NRadj_strat][bghhsub_s2_nr]</t>
  </si>
  <si>
    <t>[6][PROC GENMOD][BINARY][IND CORR][NO MI][RR_glm][bghhsub_s2_nr]</t>
  </si>
  <si>
    <t>[6][PROC GENMOD][BINARY][IND CORR][NO MI][RR_NRadj][bghhsub_s2_nr]</t>
  </si>
  <si>
    <t>[6][PROC GENMOD][BINARY][IND CORR][NO MI][RR_glm_strat][bghhsub_s2_nr]</t>
  </si>
  <si>
    <t>[6][PROC GENMOD][BINARY][IND CORR][NO MI][RR_NRadj_strat][bghhsub_s2_nr]</t>
  </si>
  <si>
    <t>[4][PROC GENMOD][EXCH CORR][NO MI][RR_glm][NOMISS V3][bghhsub_s2_v3_nr]</t>
  </si>
  <si>
    <t>[3][PROC GENMOD][EXCH CORR][MI][RR_glm][NOMISS V3][bghhsub_s2_v3_nr]</t>
  </si>
  <si>
    <t>[2][PROC GENMOD][EXCH CORR][NO MI][RR_glm][bghhsub_s2]</t>
  </si>
  <si>
    <t>[6][PROC GENMOD][EXCH CORR][NO MI][RR_glm][bghhsub_s2_nr]</t>
  </si>
  <si>
    <t>[5][PROC GENMOD][EXCH CORR][MI][RR_glm][bghhsub_s2_nr]</t>
  </si>
  <si>
    <t>[1][PROC GENMOD][EXCH CORR][MI][RR_NRadj][bghhsub_s2]</t>
  </si>
  <si>
    <t>[1][PROC GENMOD][EXCH CORR][MI][RR_glm_strat][bghhsub_s2]</t>
  </si>
  <si>
    <t>[1][PROC GENMOD][EXCH CORR][MI][RR_NRadj_strat][bghhsub_s2]</t>
  </si>
  <si>
    <t>[1][PROC GENMOD][BINARY][EXCH CORR][MI][RR_glm][bghhsub_s2]</t>
  </si>
  <si>
    <t>[1][PROC GENMOD][BINARY][EXCH CORR][MI][RR_NRadj][bghhsub_s2]</t>
  </si>
  <si>
    <t>[1][PROC GENMOD][BINARY][EXCH CORR][MI][RR_glm_strat][bghhsub_s2]</t>
  </si>
  <si>
    <t>[1][PROC GENMOD][BINARY][EXCH CORR][MI][RR_NRadj_strat][bghhsub_s2]</t>
  </si>
  <si>
    <t>[2][PROC GENMOD][EXCH CORR][NO MI][RR_NRadj][bghhsub_s2]</t>
  </si>
  <si>
    <t>[2][PROC GEE][EXCH CORR][NO MI][RR_glm][bghhsub_s2]</t>
  </si>
  <si>
    <t>[2][PROC GEE][EXCH CORR][NO MI][RR_NRadj][bghhsub_s2]</t>
  </si>
  <si>
    <t>[2][PROC GENMOD][EXCH CORR][NO MI][RR_glm_strat][bghhsub_s2]</t>
  </si>
  <si>
    <t>[2][PROC GENMOD][EXCH CORR][NO MI][RR_NRadj_strat][bghhsub_s2]</t>
  </si>
  <si>
    <t>[2][PROC GEE][EXCH CORR][NO MI][RR_glm_strat][bghhsub_s2]</t>
  </si>
  <si>
    <t>[2][PROC GEE][EXCH CORR][NO MI][RR_NRadj_strat][bghhsub_s2]</t>
  </si>
  <si>
    <t>[2][PROC GENMOD][BINARY][EXCH CORR][NO MI][RR_glm][bghhsub_s2]</t>
  </si>
  <si>
    <t>[2][PROC GENMOD][BINARY][EXCH CORR][NO MI][RR_NRadj][bghhsub_s2]</t>
  </si>
  <si>
    <t>[2][PROC GENMOD][BINARY][EXCH CORR][NO MI][RR_glm_strat][bghhsub_s2]</t>
  </si>
  <si>
    <t>[2][PROC GENMOD][BINARY][EXCH CORR][NO MI][RR_NRadj_strat][bghhsub_s2]</t>
  </si>
  <si>
    <t>[3][PROC GENMOD][EXCH CORR][MI][RR_NRadj][NOMISS V3][bghhsub_s2_v3_nr]</t>
  </si>
  <si>
    <t>[3][PROC GENMOD][EXCH CORR][MI][RR_glm_strat][NOMISS V3][bghhsub_s2_v3_nr]</t>
  </si>
  <si>
    <t>[3][PROC GENMOD][EXCH CORR][MI][RR_NRadj_strat][NOMISS V3][bghhsub_s2_v3_nr]</t>
  </si>
  <si>
    <t>[3][PROC GENMOD][BINARY][EXCH CORR][MI][RR_glm][NOMISS V3][bghhsub_s2_v3_nr]</t>
  </si>
  <si>
    <t>[3][PROC GENMOD][BINARY][EXCH CORR][MI][RR_NRadj][NOMISS V3][bghhsub_s2_v3_nr]</t>
  </si>
  <si>
    <t>[3][PROC GENMOD][BINARY][EXCH CORR][MI][RR_glm_strat][NOMISS V3][bghhsub_s2_v3_nr]</t>
  </si>
  <si>
    <t>[3][PROC GENMOD][BINARY][EXCH CORR][MI][RR_NRadj_strat][NOMISS V3][bghhsub_s2_v3_nr]</t>
  </si>
  <si>
    <t>[4][PROC GENMOD][EXCH CORR][NO MI][RR_NRadj][NOMISS V3][bghhsub_s2_v3_nr]</t>
  </si>
  <si>
    <t>[4][PROC GEE][EXCH CORR][NO MI][RR_glm][NOMISS V3][bghhsub_s2_v3_nr]</t>
  </si>
  <si>
    <t>[4][PROC GEE][EXCH CORR][NO MI][RR_NRadj][NOMISS V3][bghhsub_s2_v3_nr]</t>
  </si>
  <si>
    <t>[4][PROC GENMOD][EXCH CORR][NO MI][RR_glm_strat][NOMISS V3][bghhsub_s2_v3_nr]</t>
  </si>
  <si>
    <t>[4][PROC GENMOD][EXCH CORR][NO MI][RR_NRadj_strat][NOMISS V3][bghhsub_s2_v3_nr]</t>
  </si>
  <si>
    <t>[4][PROC GEE][EXCH CORR][NO MI][RR_glm_strat][NOMISS V3][bghhsub_s2_v3_nr]</t>
  </si>
  <si>
    <t>[4][PROC GEE][EXCH CORR][NO MI][RR_NRadj_strat][NOMISS V3][bghhsub_s2_v3_nr]</t>
  </si>
  <si>
    <t>[4][PROC GENMOD][BINARY][EXCH CORR][NO MI][RR_glm][NOMISS V3][bghhsub_s2_v3_nr]</t>
  </si>
  <si>
    <t>[4][PROC GENMOD][BINARY][EXCH CORR][NO MI][RR_NRadj][NOMISS V3][bghhsub_s2_v3_nr]</t>
  </si>
  <si>
    <t>[4][PROC GENMOD][BINARY][EXCH CORR][NO MI][RR_glm_strat][NOMISS V3][bghhsub_s2_v3_nr]</t>
  </si>
  <si>
    <t>[4][PROC GENMOD][BINARY][EXCH CORR][NO MI][RR_NRadj_strat][NOMISS V3][bghhsub_s2_v3_nr]</t>
  </si>
  <si>
    <t>[5][PROC GENMOD][EXCH CORR][MI][RR_NRadj][bghhsub_s2_nr]</t>
  </si>
  <si>
    <t>[5][PROC GENMOD][EXCH CORR][MI][RR_glm_strat][bghhsub_s2_nr]</t>
  </si>
  <si>
    <t>[5][PROC GENMOD][EXCH CORR][MI][RR_NRadj_strat][bghhsub_s2_nr]</t>
  </si>
  <si>
    <t>[5][PROC GENMOD][BINARY][EXCH CORR][MI][RR_glm][bghhsub_s2_nr]</t>
  </si>
  <si>
    <t>[5][PROC GENMOD][BINARY][EXCH CORR][MI][RR_NRadj][bghhsub_s2_nr]</t>
  </si>
  <si>
    <t>[5][PROC GENMOD][BINARY][EXCH CORR][MI][RR_glm_strat][bghhsub_s2_nr]</t>
  </si>
  <si>
    <t>[5][PROC GENMOD][BINARY][EXCH CORR][MI][RR_NRadj_strat][bghhsub_s2_nr]</t>
  </si>
  <si>
    <t>[6][PROC GENMOD][EXCH CORR][NO MI][RR_NRadj][bghhsub_s2_nr]</t>
  </si>
  <si>
    <t>[6][PROC GEE][EXCH CORR][NO MI][RR_glm][bghhsub_s2_nr]</t>
  </si>
  <si>
    <t>[6][PROC GEE][EXCH CORR][NO MI][RR_NRadj][bghhsub_s2_nr]</t>
  </si>
  <si>
    <t>[6][PROC GENMOD][EXCH CORR][NO MI][RR_glm_strat][bghhsub_s2_nr]</t>
  </si>
  <si>
    <t>[6][PROC GENMOD][EXCH CORR][NO MI][RR_NRadj_strat][bghhsub_s2_nr]</t>
  </si>
  <si>
    <t>[6][PROC GEE][EXCH CORR][NO MI][RR_glm_strat][bghhsub_s2_nr]</t>
  </si>
  <si>
    <t>[6][PROC GEE][EXCH CORR][NO MI][RR_NRadj_strat][bghhsub_s2_nr]</t>
  </si>
  <si>
    <t>[6][PROC GENMOD][BINARY][EXCH CORR][NO MI][RR_glm][bghhsub_s2_nr]</t>
  </si>
  <si>
    <t>[6][PROC GENMOD][BINARY][EXCH CORR][NO MI][RR_NRadj][bghhsub_s2_nr]</t>
  </si>
  <si>
    <t>[6][PROC GENMOD][BINARY][EXCH CORR][NO MI][RR_glm_strat][bghhsub_s2_nr]</t>
  </si>
  <si>
    <t>[6][PROC GENMOD][BINARY][EXCH CORR][NO MI][RR_NRadj_strat][bghhsub_s2_nr]</t>
  </si>
  <si>
    <t>corr</t>
  </si>
  <si>
    <t>[1][PROC GENMOD][BINARY][IND CORR][MI][RR_glm][bghhsub_s2][SUDAAN TRUE]</t>
  </si>
  <si>
    <t>[1][PROC GENMOD][BINARY][EXCH CORR][MI][RR_glm][bghhsub_s2][SUDAAN TRUE]</t>
  </si>
  <si>
    <t>[2][PROC GENMOD][BINARY][IND CORR][NO MI][RR_glm][bghhsub_s2][SUDAAN TRUE]</t>
  </si>
  <si>
    <t>[2][PROC GENMOD][BINARY][EXCH CORR][NO MI][RR_glm][bghhsub_s2][SUDAAN TRUE]</t>
  </si>
  <si>
    <t>[PROC GENMOD][BINARY][IND CORR][MI][RR_glm][NOMISS V3][bghhsub_s2]</t>
  </si>
  <si>
    <t>[PROC GENMOD][BINARY][EXCH CORR][MI][RR_glm][NOMISS V3][bghhsub_s2]</t>
  </si>
  <si>
    <t>[PROC GENMOD][BINARY][IND CORR][MI][RR_glm][NOMISS V3][bghhsub_s2][SUDAAN TRUE]</t>
  </si>
  <si>
    <t>[PROC GENMOD][BINARY][EXCH CORR][MI][RR_glm][NOMISS V3][bghhsub_s2][SUDAAN TRUE]</t>
  </si>
  <si>
    <t>[3][PROC GENMOD][BINARY][IND CORR][MI][RR_glm][NOMISS V3][bghhsub_s2_v3_nr][SUDAAN TRUE]</t>
  </si>
  <si>
    <t>[3][PROC GENMOD][BINARY][EXCH CORR][MI][RR_glm][NOMISS V3][bghhsub_s2_v3_nr][SUDAAN TRUE]</t>
  </si>
  <si>
    <t>[4][PROC GENMOD][BINARY][IND CORR][NO MI][RR_glm][NOMISS V3][bghhsub_s2_v3_nr][SUDAAN TRUE]</t>
  </si>
  <si>
    <t>[4][PROC GENMOD][BINARY][EXCH CORR][NO MI][RR_glm][NOMISS V3][bghhsub_s2_v3_nr][SUDAAN TRUE]</t>
  </si>
  <si>
    <t>[5][PROC GENMOD][BINARY][IND CORR][MI][RR_glm][bghhsub_s2_nr][SUDAAN TRUE]</t>
  </si>
  <si>
    <t>[5][PROC GENMOD][BINARY][EXCH CORR][MI][RR_glm][bghhsub_s2_nr][SUDAAN TRUE]</t>
  </si>
  <si>
    <t>[6][PROC GENMOD][BINARY][IND CORR][NO MI][RR_glm][bghhsub_s2_nr][SUDAAN TRUE]</t>
  </si>
  <si>
    <t>[6][PROC GENMOD][BINARY][EXCH CORR][NO MI][RR_glm][bghhsub_s2_nr][SUDAAN TRUE]</t>
  </si>
  <si>
    <t>[1][PROC GENMOD][BINARY][IND CORR][MI][RR_glm_strat][bghhsub_s2][SUDAAN TRUE]</t>
  </si>
  <si>
    <t>[1][PROC GENMOD][BINARY][EXCH CORR][MI][RR_glm_strat][bghhsub_s2][SUDAAN TRUE]</t>
  </si>
  <si>
    <t>[2][PROC GENMOD][BINARY][IND CORR][NO MI][RR_glm_strat][bghhsub_s2][SUDAAN TRUE]</t>
  </si>
  <si>
    <t>[2][PROC GENMOD][BINARY][EXCH CORR][NO MI][RR_glm_strat][bghhsub_s2][SUDAAN TRUE]</t>
  </si>
  <si>
    <t>[PROC GENMOD][BINARY][IND CORR][MI][RR_glm_strat][NOMISS V3][bghhsub_s2]</t>
  </si>
  <si>
    <t>[PROC GENMOD][BINARY][EXCH CORR][MI][RR_glm_strat][NOMISS V3][bghhsub_s2]</t>
  </si>
  <si>
    <t>[PROC GENMOD][BINARY][IND CORR][MI][RR_glm_strat][NOMISS V3][bghhsub_s2][SUDAAN TRUE]</t>
  </si>
  <si>
    <t>[PROC GENMOD][BINARY][EXCH CORR][MI][RR_glm_strat][NOMISS V3][bghhsub_s2][SUDAAN TRUE]</t>
  </si>
  <si>
    <t>[3][PROC GENMOD][BINARY][IND CORR][MI][RR_glm_strat][NOMISS V3][bghhsub_s2_v3_nr][SUDAAN TRUE]</t>
  </si>
  <si>
    <t>[3][PROC GENMOD][BINARY][EXCH CORR][MI][RR_glm_strat][NOMISS V3][bghhsub_s2_v3_nr][SUDAAN TRUE]</t>
  </si>
  <si>
    <t>[4][PROC GENMOD][BINARY][IND CORR][NO MI][RR_glm_strat][NOMISS V3][bghhsub_s2_v3_nr][SUDAAN TRUE]</t>
  </si>
  <si>
    <t>[4][PROC GENMOD][BINARY][EXCH CORR][NO MI][RR_glm_strat][NOMISS V3][bghhsub_s2_v3_nr][SUDAAN TRUE]</t>
  </si>
  <si>
    <t>[5][PROC GENMOD][BINARY][IND CORR][MI][RR_glm_strat][bghhsub_s2_nr][SUDAAN TRUE]</t>
  </si>
  <si>
    <t>[5][PROC GENMOD][BINARY][EXCH CORR][MI][RR_glm_strat][bghhsub_s2_nr][SUDAAN TRUE]</t>
  </si>
  <si>
    <t>[6][PROC GENMOD][BINARY][IND CORR][NO MI][RR_glm_strat][bghhsub_s2_nr][SUDAAN TRUE]</t>
  </si>
  <si>
    <t>[6][PROC GENMOD][BINARY][EXCH CORR][NO MI][RR_glm_strat][bghhsub_s2_nr][SUDAAN TRUE]</t>
  </si>
  <si>
    <t>[1][PROC GENMOD][BINARY][IND CORR][MI][RR_NRadj][bghhsub_s2][SUDAAN TRUE]</t>
  </si>
  <si>
    <t>[1][PROC GENMOD][BINARY][EXCH CORR][MI][RR_NRadj][bghhsub_s2][SUDAAN TRUE]</t>
  </si>
  <si>
    <t>[2][PROC GENMOD][BINARY][IND CORR][NO MI][RR_NRadj][bghhsub_s2][SUDAAN TRUE]</t>
  </si>
  <si>
    <t>[2][PROC GENMOD][BINARY][EXCH CORR][NO MI][RR_NRadj][bghhsub_s2][SUDAAN TRUE]</t>
  </si>
  <si>
    <t>[PROC GENMOD][BINARY][IND CORR][MI][RR_NRadj][NOMISS V3][bghhsub_s2]</t>
  </si>
  <si>
    <t>[PROC GENMOD][BINARY][EXCH CORR][MI][RR_NRadj][NOMISS V3][bghhsub_s2]</t>
  </si>
  <si>
    <t>[PROC GENMOD][BINARY][IND CORR][MI][RR_NRadj][NOMISS V3][bghhsub_s2][SUDAAN TRUE]</t>
  </si>
  <si>
    <t>[PROC GENMOD][BINARY][EXCH CORR][MI][RR_NRadj][NOMISS V3][bghhsub_s2][SUDAAN TRUE]</t>
  </si>
  <si>
    <t>[3][PROC GENMOD][BINARY][IND CORR][MI][RR_NRadj][NOMISS V3][bghhsub_s2_v3_nr][SUDAAN TRUE]</t>
  </si>
  <si>
    <t>[3][PROC GENMOD][BINARY][EXCH CORR][MI][RR_NRadj][NOMISS V3][bghhsub_s2_v3_nr][SUDAAN TRUE]</t>
  </si>
  <si>
    <t>[4][PROC GENMOD][BINARY][IND CORR][NO MI][RR_NRadj][NOMISS V3][bghhsub_s2_v3_nr][SUDAAN TRUE]</t>
  </si>
  <si>
    <t>[4][PROC GENMOD][BINARY][EXCH CORR][NO MI][RR_NRadj][NOMISS V3][bghhsub_s2_v3_nr][SUDAAN TRUE]</t>
  </si>
  <si>
    <t>[5][PROC GENMOD][BINARY][IND CORR][MI][RR_NRadj][bghhsub_s2_nr][SUDAAN TRUE]</t>
  </si>
  <si>
    <t>[5][PROC GENMOD][BINARY][EXCH CORR][MI][RR_NRadj][bghhsub_s2_nr][SUDAAN TRUE]</t>
  </si>
  <si>
    <t>[6][PROC GENMOD][BINARY][IND CORR][NO MI][RR_NRadj][bghhsub_s2_nr][SUDAAN TRUE]</t>
  </si>
  <si>
    <t>[6][PROC GENMOD][BINARY][EXCH CORR][NO MI][RR_NRadj][bghhsub_s2_nr][SUDAAN TRUE]</t>
  </si>
  <si>
    <t>[1][PROC GENMOD][BINARY][IND CORR][MI][RR_NRadj_strat][bghhsub_s2][SUDAAN TRUE]</t>
  </si>
  <si>
    <t>[1][PROC GENMOD][BINARY][EXCH CORR][MI][RR_NRadj_strat][bghhsub_s2][SUDAAN TRUE]</t>
  </si>
  <si>
    <t>[2][PROC GENMOD][BINARY][IND CORR][NO MI][RR_NRadj_strat][bghhsub_s2][SUDAAN TRUE]</t>
  </si>
  <si>
    <t>[2][PROC GENMOD][BINARY][EXCH CORR][NO MI][RR_NRadj_strat][bghhsub_s2][SUDAAN TRUE]</t>
  </si>
  <si>
    <t>[PROC GENMOD][BINARY][IND CORR][MI][RR_NRadj_strat][NOMISS V3][bghhsub_s2]</t>
  </si>
  <si>
    <t>[PROC GENMOD][BINARY][EXCH CORR][MI][RR_NRadj_strat][NOMISS V3][bghhsub_s2]</t>
  </si>
  <si>
    <t>[PROC GENMOD][BINARY][IND CORR][MI][RR_NRadj_strat][NOMISS V3][bghhsub_s2][SUDAAN TRUE]</t>
  </si>
  <si>
    <t>[PROC GENMOD][BINARY][EXCH CORR][MI][RR_NRadj_strat][NOMISS V3][bghhsub_s2][SUDAAN TRUE]</t>
  </si>
  <si>
    <t>[3][PROC GENMOD][BINARY][IND CORR][MI][RR_NRadj_strat][NOMISS V3][bghhsub_s2_v3_nr][SUDAAN TRUE]</t>
  </si>
  <si>
    <t>[3][PROC GENMOD][BINARY][EXCH CORR][MI][RR_NRadj_strat][NOMISS V3][bghhsub_s2_v3_nr][SUDAAN TRUE]</t>
  </si>
  <si>
    <t>[4][PROC GENMOD][BINARY][IND CORR][NO MI][RR_NRadj_strat][NOMISS V3][bghhsub_s2_v3_nr][SUDAAN TRUE]</t>
  </si>
  <si>
    <t>[4][PROC GENMOD][BINARY][EXCH CORR][NO MI][RR_NRadj_strat][NOMISS V3][bghhsub_s2_v3_nr][SUDAAN TRUE]</t>
  </si>
  <si>
    <t>[5][PROC GENMOD][BINARY][IND CORR][MI][RR_NRadj_strat][bghhsub_s2_nr][SUDAAN TRUE]</t>
  </si>
  <si>
    <t>[5][PROC GENMOD][BINARY][EXCH CORR][MI][RR_NRadj_strat][bghhsub_s2_nr][SUDAAN TRUE]</t>
  </si>
  <si>
    <t>[6][PROC GENMOD][BINARY][IND CORR][NO MI][RR_NRadj_strat][bghhsub_s2_nr][SUDAAN TRUE]</t>
  </si>
  <si>
    <t>[6][PROC GENMOD][BINARY][EXCH CORR][NO MI][RR_NRadj_strat][bghhsub_s2_nr][SUDAAN TRUE]</t>
  </si>
  <si>
    <t>[IND CORR][GEE True]</t>
  </si>
  <si>
    <t>[EXCH CORR][SUDAAN TRUE]</t>
  </si>
  <si>
    <t>SAMPLEMISS_1 - SAMPLEMISS_1000</t>
  </si>
  <si>
    <t>RR_glm_agestrat_strat</t>
  </si>
  <si>
    <t>1I</t>
  </si>
  <si>
    <t>1J</t>
  </si>
  <si>
    <t>2Q</t>
  </si>
  <si>
    <t>2R</t>
  </si>
  <si>
    <t>2S</t>
  </si>
  <si>
    <t>2T</t>
  </si>
  <si>
    <t>3I</t>
  </si>
  <si>
    <t>3J</t>
  </si>
  <si>
    <t>4Q</t>
  </si>
  <si>
    <t>4R</t>
  </si>
  <si>
    <t>4S</t>
  </si>
  <si>
    <t>4T</t>
  </si>
  <si>
    <t>5I</t>
  </si>
  <si>
    <t>5J</t>
  </si>
  <si>
    <t>6Q</t>
  </si>
  <si>
    <t>6R</t>
  </si>
  <si>
    <t>6S</t>
  </si>
  <si>
    <t>6T</t>
  </si>
  <si>
    <t>[1]</t>
  </si>
  <si>
    <t>[2]</t>
  </si>
  <si>
    <t>[3]</t>
  </si>
  <si>
    <t>[4]</t>
  </si>
  <si>
    <t>[5]</t>
  </si>
  <si>
    <t>[6]</t>
  </si>
  <si>
    <t>[PROC GENMOD]</t>
  </si>
  <si>
    <t>[PROC GEE]</t>
  </si>
  <si>
    <t>[RR_glm_agestrat_strat]</t>
  </si>
  <si>
    <t>[bghhsub_s2_nr]</t>
  </si>
  <si>
    <t>[bghhsub_s2_v3_nr]</t>
  </si>
  <si>
    <t>[bghhsub_s2]</t>
  </si>
  <si>
    <t>[1][PROC GENMOD][IND CORR][MI][RR_glm_agestrat_strat][bghhsub_s2]</t>
  </si>
  <si>
    <t>[1][PROC GENMOD][EXCH CORR][MI][RR_glm_agestrat_strat][bghhsub_s2]</t>
  </si>
  <si>
    <t>[1][PROC GENMOD][IND CORR][MI][RR_glm_agestrat_strat][bghhsub_s2][SUDAAN TRUE]</t>
  </si>
  <si>
    <t>[1][PROC GENMOD][EXCH CORR][MI][RR_glm_agestrat_strat][bghhsub_s2][SUDAAN TRUE]</t>
  </si>
  <si>
    <t>[2][PROC GENMOD][IND CORR][NO MI][RR_glm_agestrat_strat][bghhsub_s2]</t>
  </si>
  <si>
    <t>[2][PROC GENMOD][EXCH CORR][NO MI][RR_glm_agestrat_strat][bghhsub_s2]</t>
  </si>
  <si>
    <t>[2][PROC GENMOD][IND CORR][NO MI][RR_glm_agestrat_strat][bghhsub_s2][SUDAAN TRUE]</t>
  </si>
  <si>
    <t>[2][PROC GENMOD][EXCH CORR][NO MI][RR_glm_agestrat_strat][bghhsub_s2][SUDAAN TRUE]</t>
  </si>
  <si>
    <t>[PROC GENMOD][IND CORR][MI][RR_glm_agestrat_strat][NOMISS V3][bghhsub_s2]</t>
  </si>
  <si>
    <t>[PROC GENMOD][EXCH CORR][MI][RR_glm_agestrat_strat][NOMISS V3][bghhsub_s2]</t>
  </si>
  <si>
    <t>[PROC GENMOD][IND CORR][MI][RR_glm_agestrat_strat][NOMISS V3][bghhsub_s2][SUDAAN TRUE]</t>
  </si>
  <si>
    <t>[PROC GENMOD][EXCH CORR][MI][RR_glm_agestrat_strat][NOMISS V3][bghhsub_s2][SUDAAN TRUE]</t>
  </si>
  <si>
    <t>[3][PROC GENMOD][IND CORR][MI][RR_glm_agestrat_strat][NOMISS V3][bghhsub_s2_v3_nr]</t>
  </si>
  <si>
    <t>[3][PROC GENMOD][EXCH CORR][MI][RR_glm_agestrat_strat][NOMISS V3][bghhsub_s2_v3_nr]</t>
  </si>
  <si>
    <t>[3][PROC GENMOD][IND CORR][MI][RR_glm_agestrat_strat][NOMISS V3][bghhsub_s2_v3_nr][SUDAAN TRUE]</t>
  </si>
  <si>
    <t>[3][PROC GENMOD][EXCH CORR][MI][RR_glm_agestrat_strat][NOMISS V3][bghhsub_s2_v3_nr][SUDAAN TRUE]</t>
  </si>
  <si>
    <t>[4][PROC GENMOD][IND CORR][NO MI][RR_glm_agestrat_strat][NOMISS V3][bghhsub_s2_v3_nr]</t>
  </si>
  <si>
    <t>[4][PROC GENMOD][EXCH CORR][NO MI][RR_glm_agestrat_strat][NOMISS V3][bghhsub_s2_v3_nr]</t>
  </si>
  <si>
    <t>[4][PROC GENMOD][IND CORR][NO MI][RR_glm_agestrat_strat][NOMISS V3][bghhsub_s2_v3_nr][SUDAAN TRUE]</t>
  </si>
  <si>
    <t>[4][PROC GENMOD][EXCH CORR][NO MI][RR_glm_agestrat_strat][NOMISS V3][bghhsub_s2_v3_nr][SUDAAN TRUE]</t>
  </si>
  <si>
    <t>[5][PROC GENMOD][IND CORR][MI][RR_glm_agestrat_strat][bghhsub_s2_nr]</t>
  </si>
  <si>
    <t>[5][PROC GENMOD][EXCH CORR][MI][RR_glm_agestrat_strat][bghhsub_s2_nr]</t>
  </si>
  <si>
    <t>[5][PROC GENMOD][IND CORR][MI][RR_glm_agestrat_strat][bghhsub_s2_nr][SUDAAN TRUE]</t>
  </si>
  <si>
    <t>[5][PROC GENMOD][EXCH CORR][MI][RR_glm_agestrat_strat][bghhsub_s2_nr][SUDAAN TRUE]</t>
  </si>
  <si>
    <t>[6][PROC GENMOD][IND CORR][NO MI][RR_glm_agestrat_strat][bghhsub_s2_nr]</t>
  </si>
  <si>
    <t>[6][PROC GENMOD][EXCH CORR][NO MI][RR_glm_agestrat_strat][bghhsub_s2_nr]</t>
  </si>
  <si>
    <t>[6][PROC GENMOD][IND CORR][NO MI][RR_glm_agestrat_strat][bghhsub_s2_nr][SUDAAN TRUE]</t>
  </si>
  <si>
    <t>[6][PROC GENMOD][EXCH CORR][NO MI][RR_glm_agestrat_strat][bghhsub_s2_nr][SUDAAN TRUE]</t>
  </si>
  <si>
    <t>[1][PROC GENMOD][BINARY][IND CORR][MI][RR_glm_agestrat_strat][bghhsub_s2]</t>
  </si>
  <si>
    <t>[1][PROC GENMOD][BINARY][EXCH CORR][MI][RR_glm_agestrat_strat][bghhsub_s2]</t>
  </si>
  <si>
    <t>[1][PROC GENMOD][BINARY][IND CORR][MI][RR_glm_agestrat_strat][bghhsub_s2][SUDAAN TRUE]</t>
  </si>
  <si>
    <t>[1][PROC GENMOD][BINARY][EXCH CORR][MI][RR_glm_agestrat_strat][bghhsub_s2][SUDAAN TRUE]</t>
  </si>
  <si>
    <t>[2][PROC GENMOD][BINARY][IND CORR][NO MI][RR_glm_agestrat_strat][bghhsub_s2]</t>
  </si>
  <si>
    <t>[2][PROC GENMOD][BINARY][EXCH CORR][NO MI][RR_glm_agestrat_strat][bghhsub_s2]</t>
  </si>
  <si>
    <t>[2][PROC GENMOD][BINARY][IND CORR][NO MI][RR_glm_agestrat_strat][bghhsub_s2][SUDAAN TRUE]</t>
  </si>
  <si>
    <t>[2][PROC GENMOD][BINARY][EXCH CORR][NO MI][RR_glm_agestrat_strat][bghhsub_s2][SUDAAN TRUE]</t>
  </si>
  <si>
    <t>[PROC GENMOD][BINARY][IND CORR][MI][RR_glm_agestrat_strat][NOMISS V3][bghhsub_s2]</t>
  </si>
  <si>
    <t>[PROC GENMOD][BINARY][EXCH CORR][MI][RR_glm_agestrat_strat][NOMISS V3][bghhsub_s2]</t>
  </si>
  <si>
    <t>[PROC GENMOD][BINARY][IND CORR][MI][RR_glm_agestrat_strat][NOMISS V3][bghhsub_s2][SUDAAN TRUE]</t>
  </si>
  <si>
    <t>[PROC GENMOD][BINARY][EXCH CORR][MI][RR_glm_agestrat_strat][NOMISS V3][bghhsub_s2][SUDAAN TRUE]</t>
  </si>
  <si>
    <t>[3][PROC GENMOD][BINARY][IND CORR][MI][RR_glm_agestrat_strat][NOMISS V3][bghhsub_s2_v3_nr]</t>
  </si>
  <si>
    <t>[3][PROC GENMOD][BINARY][EXCH CORR][MI][RR_glm_agestrat_strat][NOMISS V3][bghhsub_s2_v3_nr]</t>
  </si>
  <si>
    <t>[3][PROC GENMOD][BINARY][IND CORR][MI][RR_glm_agestrat_strat][NOMISS V3][bghhsub_s2_v3_nr][SUDAAN TRUE]</t>
  </si>
  <si>
    <t>[3][PROC GENMOD][BINARY][EXCH CORR][MI][RR_glm_agestrat_strat][NOMISS V3][bghhsub_s2_v3_nr][SUDAAN TRUE]</t>
  </si>
  <si>
    <t>[4][PROC GENMOD][BINARY][IND CORR][NO MI][RR_glm_agestrat_strat][NOMISS V3][bghhsub_s2_v3_nr]</t>
  </si>
  <si>
    <t>[4][PROC GENMOD][BINARY][EXCH CORR][NO MI][RR_glm_agestrat_strat][NOMISS V3][bghhsub_s2_v3_nr]</t>
  </si>
  <si>
    <t>[4][PROC GENMOD][BINARY][IND CORR][NO MI][RR_glm_agestrat_strat][NOMISS V3][bghhsub_s2_v3_nr][SUDAAN TRUE]</t>
  </si>
  <si>
    <t>[4][PROC GENMOD][BINARY][EXCH CORR][NO MI][RR_glm_agestrat_strat][NOMISS V3][bghhsub_s2_v3_nr][SUDAAN TRUE]</t>
  </si>
  <si>
    <t>[5][PROC GENMOD][BINARY][IND CORR][MI][RR_glm_agestrat_strat][bghhsub_s2_nr]</t>
  </si>
  <si>
    <t>[5][PROC GENMOD][BINARY][EXCH CORR][MI][RR_glm_agestrat_strat][bghhsub_s2_nr]</t>
  </si>
  <si>
    <t>[5][PROC GENMOD][BINARY][IND CORR][MI][RR_glm_agestrat_strat][bghhsub_s2_nr][SUDAAN TRUE]</t>
  </si>
  <si>
    <t>[5][PROC GENMOD][BINARY][EXCH CORR][MI][RR_glm_agestrat_strat][bghhsub_s2_nr][SUDAAN TRUE]</t>
  </si>
  <si>
    <t>[6][PROC GENMOD][BINARY][IND CORR][NO MI][RR_glm_agestrat_strat][bghhsub_s2_nr]</t>
  </si>
  <si>
    <t>[6][PROC GENMOD][BINARY][EXCH CORR][NO MI][RR_glm_agestrat_strat][bghhsub_s2_nr]</t>
  </si>
  <si>
    <t>[6][PROC GENMOD][BINARY][IND CORR][NO MI][RR_glm_agestrat_strat][bghhsub_s2_nr][SUDAAN TRUE]</t>
  </si>
  <si>
    <t>[6][PROC GENMOD][BINARY][EXCH CORR][NO MI][RR_glm_agestrat_strat][bghhsub_s2_nr][SUDAAN TRUE]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</si>
</sst>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1" fontId="0" fillId="0" borderId="0" xfId="0" applyNumberForma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208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173168</xdr:colOff>
      <xdr:row>20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68B41-86A3-73B9-628F-B3E017B7E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150"/>
          <a:ext cx="4440368" cy="333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15</xdr:col>
      <xdr:colOff>152400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1CAD6-798E-FD2F-6456-6D6853E07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8300"/>
          <a:ext cx="4419600" cy="331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7</xdr:col>
      <xdr:colOff>139700</xdr:colOff>
      <xdr:row>55</xdr:row>
      <xdr:rowOff>174626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1D8194-4814-9ABA-0550-C5C09AB49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77250"/>
          <a:ext cx="4406900" cy="3305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AFEF-3D31-4988-B523-545064E01535}">
  <dimension ref="A1:J21"/>
  <sheetViews>
    <sheetView workbookViewId="0">
      <selection activeCell="A3" sqref="A3"/>
    </sheetView>
  </sheetViews>
  <sheetFormatPr defaultRowHeight="15" x14ac:dyDescent="0.25"/>
  <sheetData>
    <row r="1" spans="1:10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>
        <v>107.0774</v>
      </c>
      <c r="C4">
        <v>107.0471</v>
      </c>
      <c r="D4">
        <v>-3.0329999999999999E-2</v>
      </c>
      <c r="E4">
        <v>-2.8299999999999999E-4</v>
      </c>
      <c r="F4">
        <v>2.9796</v>
      </c>
      <c r="G4">
        <v>2.9681000000000002</v>
      </c>
      <c r="H4">
        <v>-3.8579999999999999E-3</v>
      </c>
      <c r="I4">
        <v>0.97</v>
      </c>
      <c r="J4">
        <v>1</v>
      </c>
    </row>
    <row r="5" spans="1:10" x14ac:dyDescent="0.25">
      <c r="A5" t="s">
        <v>13</v>
      </c>
      <c r="B5">
        <v>-4.7686000000000002</v>
      </c>
      <c r="C5">
        <v>-4.9158999999999997</v>
      </c>
      <c r="D5">
        <v>-0.14724000000000001</v>
      </c>
      <c r="E5">
        <v>3.0877000000000002E-2</v>
      </c>
      <c r="F5">
        <v>1.1842999999999999</v>
      </c>
      <c r="G5">
        <v>1.2117</v>
      </c>
      <c r="H5">
        <v>2.3085000000000001E-2</v>
      </c>
      <c r="I5">
        <v>0.94</v>
      </c>
      <c r="J5">
        <v>0.95</v>
      </c>
    </row>
    <row r="6" spans="1:10" x14ac:dyDescent="0.25">
      <c r="A6" t="s">
        <v>14</v>
      </c>
      <c r="B6">
        <v>8.6966999999999999</v>
      </c>
      <c r="C6">
        <v>8.6256000000000004</v>
      </c>
      <c r="D6">
        <v>-7.1069999999999994E-2</v>
      </c>
      <c r="E6">
        <v>-8.1720000000000004E-3</v>
      </c>
      <c r="F6">
        <v>0.74080000000000001</v>
      </c>
      <c r="G6">
        <v>0.69230000000000003</v>
      </c>
      <c r="H6">
        <v>-6.5511E-2</v>
      </c>
      <c r="I6">
        <v>0.93</v>
      </c>
      <c r="J6">
        <v>1</v>
      </c>
    </row>
    <row r="7" spans="1:10" x14ac:dyDescent="0.25">
      <c r="A7" t="s">
        <v>15</v>
      </c>
      <c r="B7">
        <v>-1.6103000000000001</v>
      </c>
      <c r="C7">
        <v>-1.5361</v>
      </c>
      <c r="D7">
        <v>7.4200000000000002E-2</v>
      </c>
      <c r="E7">
        <v>-4.6077E-2</v>
      </c>
      <c r="F7">
        <v>0.69520000000000004</v>
      </c>
      <c r="G7">
        <v>0.73629999999999995</v>
      </c>
      <c r="H7">
        <v>5.8993999999999998E-2</v>
      </c>
      <c r="I7">
        <v>0.96</v>
      </c>
      <c r="J7">
        <v>0.56999999999999995</v>
      </c>
    </row>
    <row r="8" spans="1:10" x14ac:dyDescent="0.25">
      <c r="A8" t="s">
        <v>16</v>
      </c>
      <c r="B8">
        <v>-7.9151999999999996</v>
      </c>
      <c r="C8">
        <v>-8.0079999999999991</v>
      </c>
      <c r="D8">
        <v>-9.2810000000000004E-2</v>
      </c>
      <c r="E8">
        <v>1.1724999999999999E-2</v>
      </c>
      <c r="F8">
        <v>0.94259999999999999</v>
      </c>
      <c r="G8">
        <v>0.90129999999999999</v>
      </c>
      <c r="H8">
        <v>-4.3765999999999999E-2</v>
      </c>
      <c r="I8">
        <v>0.97</v>
      </c>
      <c r="J8">
        <v>1</v>
      </c>
    </row>
    <row r="9" spans="1:10" x14ac:dyDescent="0.25">
      <c r="A9" t="s">
        <v>17</v>
      </c>
      <c r="B9">
        <v>5.8681000000000001</v>
      </c>
      <c r="C9">
        <v>5.87</v>
      </c>
      <c r="D9">
        <v>1.8600000000000001E-3</v>
      </c>
      <c r="E9">
        <v>3.1700000000000001E-4</v>
      </c>
      <c r="F9">
        <v>4.9200000000000001E-2</v>
      </c>
      <c r="G9">
        <v>5.3900000000000003E-2</v>
      </c>
      <c r="H9">
        <v>9.4943E-2</v>
      </c>
      <c r="I9">
        <v>0.95</v>
      </c>
      <c r="J9">
        <v>1</v>
      </c>
    </row>
    <row r="10" spans="1:10" x14ac:dyDescent="0.25">
      <c r="A10" t="s">
        <v>18</v>
      </c>
      <c r="B10">
        <v>2.8400000000000002E-2</v>
      </c>
      <c r="C10">
        <v>2.7099999999999999E-2</v>
      </c>
      <c r="D10">
        <v>-1.33E-3</v>
      </c>
      <c r="E10">
        <v>-4.6858999999999998E-2</v>
      </c>
      <c r="F10">
        <v>3.6900000000000002E-2</v>
      </c>
      <c r="G10">
        <v>3.4700000000000002E-2</v>
      </c>
      <c r="H10">
        <v>-5.9184E-2</v>
      </c>
      <c r="I10">
        <v>0.95</v>
      </c>
      <c r="J10">
        <v>0.15</v>
      </c>
    </row>
    <row r="11" spans="1:10" x14ac:dyDescent="0.25">
      <c r="A11" s="2"/>
    </row>
    <row r="12" spans="1:10" x14ac:dyDescent="0.25">
      <c r="A12" s="2" t="s">
        <v>19</v>
      </c>
    </row>
    <row r="13" spans="1:10" x14ac:dyDescent="0.25">
      <c r="A13" s="2" t="s">
        <v>2</v>
      </c>
      <c r="B13" t="s">
        <v>3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  <c r="H13" t="s">
        <v>9</v>
      </c>
      <c r="I13" t="s">
        <v>10</v>
      </c>
      <c r="J13" t="s">
        <v>11</v>
      </c>
    </row>
    <row r="14" spans="1:10" x14ac:dyDescent="0.25">
      <c r="A14" s="2" t="s">
        <v>12</v>
      </c>
      <c r="B14">
        <v>107.0774</v>
      </c>
      <c r="C14">
        <v>107.0471</v>
      </c>
      <c r="D14">
        <v>-3.0329999999999999E-2</v>
      </c>
      <c r="E14">
        <v>-2.8299999999999999E-4</v>
      </c>
      <c r="F14">
        <v>2.9796</v>
      </c>
      <c r="G14">
        <v>2.9681000000000002</v>
      </c>
      <c r="H14">
        <v>-3.8579999999999999E-3</v>
      </c>
      <c r="I14">
        <v>0.97</v>
      </c>
      <c r="J14">
        <v>1</v>
      </c>
    </row>
    <row r="15" spans="1:10" x14ac:dyDescent="0.25">
      <c r="A15" s="2" t="s">
        <v>13</v>
      </c>
      <c r="B15">
        <v>-4.7686000000000002</v>
      </c>
      <c r="C15">
        <v>-4.9158999999999997</v>
      </c>
      <c r="D15">
        <v>-0.14724000000000001</v>
      </c>
      <c r="E15">
        <v>3.0877000000000002E-2</v>
      </c>
      <c r="F15">
        <v>1.1842999999999999</v>
      </c>
      <c r="G15">
        <v>1.2117</v>
      </c>
      <c r="H15">
        <v>2.3085000000000001E-2</v>
      </c>
      <c r="I15">
        <v>0.94</v>
      </c>
      <c r="J15">
        <v>0.95</v>
      </c>
    </row>
    <row r="16" spans="1:10" x14ac:dyDescent="0.25">
      <c r="A16" s="2" t="s">
        <v>14</v>
      </c>
      <c r="B16">
        <v>8.6966999999999999</v>
      </c>
      <c r="C16">
        <v>8.6256000000000004</v>
      </c>
      <c r="D16">
        <v>-7.1069999999999994E-2</v>
      </c>
      <c r="E16">
        <v>-8.1720000000000004E-3</v>
      </c>
      <c r="F16">
        <v>0.74080000000000001</v>
      </c>
      <c r="G16">
        <v>0.69230000000000003</v>
      </c>
      <c r="H16">
        <v>-6.5511E-2</v>
      </c>
      <c r="I16">
        <v>0.93</v>
      </c>
      <c r="J16">
        <v>1</v>
      </c>
    </row>
    <row r="17" spans="1:10" x14ac:dyDescent="0.25">
      <c r="A17" s="2" t="s">
        <v>15</v>
      </c>
      <c r="B17">
        <v>-1.6103000000000001</v>
      </c>
      <c r="C17">
        <v>-1.5361</v>
      </c>
      <c r="D17">
        <v>7.4200000000000002E-2</v>
      </c>
      <c r="E17">
        <v>-4.6077E-2</v>
      </c>
      <c r="F17">
        <v>0.69520000000000004</v>
      </c>
      <c r="G17">
        <v>0.73629999999999995</v>
      </c>
      <c r="H17">
        <v>5.8993999999999998E-2</v>
      </c>
      <c r="I17">
        <v>0.96</v>
      </c>
      <c r="J17">
        <v>0.56999999999999995</v>
      </c>
    </row>
    <row r="18" spans="1:10" x14ac:dyDescent="0.25">
      <c r="A18" s="2" t="s">
        <v>16</v>
      </c>
      <c r="B18">
        <v>-7.9151999999999996</v>
      </c>
      <c r="C18">
        <v>-8.0079999999999991</v>
      </c>
      <c r="D18">
        <v>-9.2810000000000004E-2</v>
      </c>
      <c r="E18">
        <v>1.1724999999999999E-2</v>
      </c>
      <c r="F18">
        <v>0.94259999999999999</v>
      </c>
      <c r="G18">
        <v>0.90129999999999999</v>
      </c>
      <c r="H18">
        <v>-4.3765999999999999E-2</v>
      </c>
      <c r="I18">
        <v>0.97</v>
      </c>
      <c r="J18">
        <v>1</v>
      </c>
    </row>
    <row r="19" spans="1:10" x14ac:dyDescent="0.25">
      <c r="A19" s="2" t="s">
        <v>17</v>
      </c>
      <c r="B19">
        <v>5.8681000000000001</v>
      </c>
      <c r="C19">
        <v>5.87</v>
      </c>
      <c r="D19">
        <v>1.8600000000000001E-3</v>
      </c>
      <c r="E19">
        <v>3.1700000000000001E-4</v>
      </c>
      <c r="F19">
        <v>4.9200000000000001E-2</v>
      </c>
      <c r="G19">
        <v>5.3900000000000003E-2</v>
      </c>
      <c r="H19">
        <v>9.4943E-2</v>
      </c>
      <c r="I19">
        <v>0.95</v>
      </c>
      <c r="J19">
        <v>1</v>
      </c>
    </row>
    <row r="20" spans="1:10" x14ac:dyDescent="0.25">
      <c r="A20" s="2" t="s">
        <v>18</v>
      </c>
      <c r="B20">
        <v>2.8400000000000002E-2</v>
      </c>
      <c r="C20">
        <v>2.7099999999999999E-2</v>
      </c>
      <c r="D20">
        <v>-1.33E-3</v>
      </c>
      <c r="E20">
        <v>-4.6858999999999998E-2</v>
      </c>
      <c r="F20">
        <v>3.6900000000000002E-2</v>
      </c>
      <c r="G20">
        <v>3.4700000000000002E-2</v>
      </c>
      <c r="H20">
        <v>-5.9184E-2</v>
      </c>
      <c r="I20">
        <v>0.95</v>
      </c>
      <c r="J20">
        <v>0.15</v>
      </c>
    </row>
    <row r="21" spans="1:10" x14ac:dyDescent="0.25">
      <c r="A21" s="2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60C7A-4598-463C-9F88-F83168016FF7}">
  <dimension ref="A1:AU71"/>
  <sheetViews>
    <sheetView zoomScaleNormal="100" workbookViewId="0">
      <selection activeCell="Y11" sqref="Y11"/>
    </sheetView>
  </sheetViews>
  <sheetFormatPr defaultRowHeight="15" x14ac:dyDescent="0.25"/>
  <cols>
    <col min="1" max="1" width="6.140625" customWidth="1"/>
    <col min="12" max="12" width="3.85546875" customWidth="1"/>
    <col min="24" max="24" width="17.140625" customWidth="1"/>
    <col min="34" max="34" width="2.85546875" customWidth="1"/>
    <col min="35" max="35" width="9" customWidth="1"/>
    <col min="47" max="47" width="36.5703125" bestFit="1" customWidth="1"/>
  </cols>
  <sheetData>
    <row r="1" spans="1:47" x14ac:dyDescent="0.25">
      <c r="B1" s="15" t="s">
        <v>76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65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66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78</v>
      </c>
      <c r="M3" s="1" t="s">
        <v>79</v>
      </c>
      <c r="X3" s="1" t="s">
        <v>80</v>
      </c>
      <c r="AI3" s="1" t="s">
        <v>81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>
        <v>107.0774</v>
      </c>
      <c r="D5">
        <v>106.93137299999999</v>
      </c>
      <c r="E5">
        <v>-0.14604</v>
      </c>
      <c r="F5">
        <v>-1.3600000000000001E-3</v>
      </c>
      <c r="G5">
        <v>1.9726429999999999</v>
      </c>
      <c r="H5">
        <v>2.0496059999999998</v>
      </c>
      <c r="I5">
        <v>3.9015000000000001E-2</v>
      </c>
      <c r="J5">
        <v>0.96</v>
      </c>
      <c r="K5">
        <v>0</v>
      </c>
      <c r="M5" t="s">
        <v>12</v>
      </c>
      <c r="N5">
        <v>105.9799</v>
      </c>
      <c r="O5">
        <v>107.12438400000001</v>
      </c>
      <c r="P5">
        <v>1.1444399999999999</v>
      </c>
      <c r="Q5">
        <v>1.0800000000000001E-2</v>
      </c>
      <c r="R5">
        <v>2.0700669999999999</v>
      </c>
      <c r="S5">
        <v>2.1398450000000002</v>
      </c>
      <c r="T5">
        <v>3.3709999999999997E-2</v>
      </c>
      <c r="U5">
        <v>0.92900000000000005</v>
      </c>
      <c r="V5">
        <v>0</v>
      </c>
      <c r="X5" t="s">
        <v>12</v>
      </c>
      <c r="Y5">
        <v>107.08</v>
      </c>
      <c r="Z5">
        <v>106.93137299999999</v>
      </c>
      <c r="AA5">
        <v>-0.14604</v>
      </c>
      <c r="AB5">
        <v>-1.3600000000000001E-3</v>
      </c>
      <c r="AC5">
        <v>1.9726429999999999</v>
      </c>
      <c r="AD5">
        <v>2.0496059999999998</v>
      </c>
      <c r="AE5">
        <v>3.9015000000000001E-2</v>
      </c>
      <c r="AF5">
        <v>0.96</v>
      </c>
      <c r="AG5">
        <v>0</v>
      </c>
      <c r="AI5" t="s">
        <v>12</v>
      </c>
      <c r="AJ5">
        <v>106.81</v>
      </c>
      <c r="AK5">
        <v>107.12438400000001</v>
      </c>
      <c r="AL5">
        <v>0.31192999999999999</v>
      </c>
      <c r="AM5">
        <v>2.9199999999999999E-3</v>
      </c>
      <c r="AN5">
        <v>2.0700669999999999</v>
      </c>
      <c r="AO5">
        <v>2.1398450000000002</v>
      </c>
      <c r="AP5">
        <v>3.3709999999999997E-2</v>
      </c>
      <c r="AQ5">
        <v>0.95599999999999996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-4.9022129999999997</v>
      </c>
      <c r="E6">
        <v>-0.13356999999999999</v>
      </c>
      <c r="F6">
        <v>2.801E-2</v>
      </c>
      <c r="G6">
        <v>0.75030300000000005</v>
      </c>
      <c r="H6">
        <v>0.78731799999999996</v>
      </c>
      <c r="I6">
        <v>4.9333000000000002E-2</v>
      </c>
      <c r="J6">
        <v>0.95499999999999996</v>
      </c>
      <c r="K6">
        <v>0</v>
      </c>
      <c r="M6" t="s">
        <v>13</v>
      </c>
      <c r="N6">
        <v>-5.1665999999999999</v>
      </c>
      <c r="O6">
        <v>-4.8460419999999997</v>
      </c>
      <c r="P6">
        <v>0.32052999999999998</v>
      </c>
      <c r="Q6">
        <v>-6.2039999999999998E-2</v>
      </c>
      <c r="R6">
        <v>0.81981599999999999</v>
      </c>
      <c r="S6">
        <v>0.85860400000000003</v>
      </c>
      <c r="T6">
        <v>4.7309999999999998E-2</v>
      </c>
      <c r="U6">
        <v>0.95099999999999996</v>
      </c>
      <c r="V6">
        <v>0</v>
      </c>
      <c r="X6" t="s">
        <v>13</v>
      </c>
      <c r="Y6">
        <v>-4.7699999999999996</v>
      </c>
      <c r="Z6">
        <v>-4.9022129999999997</v>
      </c>
      <c r="AA6">
        <v>-0.13356999999999999</v>
      </c>
      <c r="AB6">
        <v>2.801E-2</v>
      </c>
      <c r="AC6">
        <v>0.75030300000000005</v>
      </c>
      <c r="AD6">
        <v>0.78731799999999996</v>
      </c>
      <c r="AE6">
        <v>4.9333000000000002E-2</v>
      </c>
      <c r="AF6">
        <v>0.95499999999999996</v>
      </c>
      <c r="AG6">
        <v>0</v>
      </c>
      <c r="AI6" t="s">
        <v>13</v>
      </c>
      <c r="AJ6">
        <v>-4.8</v>
      </c>
      <c r="AK6">
        <v>-4.8460419999999997</v>
      </c>
      <c r="AL6">
        <v>-4.6760000000000003E-2</v>
      </c>
      <c r="AM6">
        <v>9.7429999999999999E-3</v>
      </c>
      <c r="AN6">
        <v>0.81981599999999999</v>
      </c>
      <c r="AO6">
        <v>0.85860400000000003</v>
      </c>
      <c r="AP6">
        <v>4.7309999999999998E-2</v>
      </c>
      <c r="AQ6">
        <v>0.96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8.6482620000000008</v>
      </c>
      <c r="E7">
        <v>-4.8439999999999997E-2</v>
      </c>
      <c r="F7">
        <v>-5.5700000000000003E-3</v>
      </c>
      <c r="G7">
        <v>0.43876399999999999</v>
      </c>
      <c r="H7">
        <v>0.449743</v>
      </c>
      <c r="I7">
        <v>2.5023E-2</v>
      </c>
      <c r="J7">
        <v>0.95099999999999996</v>
      </c>
      <c r="K7">
        <v>0</v>
      </c>
      <c r="M7" t="s">
        <v>14</v>
      </c>
      <c r="N7">
        <v>8.6967999999999996</v>
      </c>
      <c r="O7">
        <v>8.6651360000000004</v>
      </c>
      <c r="P7">
        <v>-3.1699999999999999E-2</v>
      </c>
      <c r="Q7">
        <v>-3.65E-3</v>
      </c>
      <c r="R7">
        <v>0.50249600000000005</v>
      </c>
      <c r="S7">
        <v>0.503363</v>
      </c>
      <c r="T7">
        <v>1.72E-3</v>
      </c>
      <c r="U7">
        <v>0.95299999999999996</v>
      </c>
      <c r="V7">
        <v>0</v>
      </c>
      <c r="X7" t="s">
        <v>14</v>
      </c>
      <c r="Y7">
        <v>8.6999999999999993</v>
      </c>
      <c r="Z7">
        <v>8.6482620000000008</v>
      </c>
      <c r="AA7">
        <v>-4.8439999999999997E-2</v>
      </c>
      <c r="AB7">
        <v>-5.5700000000000003E-3</v>
      </c>
      <c r="AC7">
        <v>0.43876399999999999</v>
      </c>
      <c r="AD7">
        <v>0.449743</v>
      </c>
      <c r="AE7">
        <v>2.5023E-2</v>
      </c>
      <c r="AF7">
        <v>0.95099999999999996</v>
      </c>
      <c r="AG7">
        <v>0</v>
      </c>
      <c r="AI7" t="s">
        <v>14</v>
      </c>
      <c r="AJ7">
        <v>8.6999999999999993</v>
      </c>
      <c r="AK7">
        <v>8.6651360000000004</v>
      </c>
      <c r="AL7">
        <v>-3.7069999999999999E-2</v>
      </c>
      <c r="AM7">
        <v>-4.2599999999999999E-3</v>
      </c>
      <c r="AN7">
        <v>0.50249600000000005</v>
      </c>
      <c r="AO7">
        <v>0.503363</v>
      </c>
      <c r="AP7">
        <v>1.72E-3</v>
      </c>
      <c r="AQ7">
        <v>0.95299999999999996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-1.5051909999999999</v>
      </c>
      <c r="E8">
        <v>0.1051</v>
      </c>
      <c r="F8">
        <v>-6.5269999999999995E-2</v>
      </c>
      <c r="G8">
        <v>0.462231</v>
      </c>
      <c r="H8">
        <v>0.48416999999999999</v>
      </c>
      <c r="I8">
        <v>4.7461999999999997E-2</v>
      </c>
      <c r="J8">
        <v>0.96099999999999997</v>
      </c>
      <c r="K8">
        <v>0</v>
      </c>
      <c r="M8" t="s">
        <v>15</v>
      </c>
      <c r="N8">
        <v>-1.5933999999999999</v>
      </c>
      <c r="O8">
        <v>-1.62199</v>
      </c>
      <c r="P8">
        <v>-2.8559999999999999E-2</v>
      </c>
      <c r="Q8">
        <v>1.7919999999999998E-2</v>
      </c>
      <c r="R8">
        <v>0.49632700000000002</v>
      </c>
      <c r="S8">
        <v>0.51403500000000002</v>
      </c>
      <c r="T8">
        <v>3.5680000000000003E-2</v>
      </c>
      <c r="U8">
        <v>0.95399999999999996</v>
      </c>
      <c r="V8">
        <v>0</v>
      </c>
      <c r="X8" t="s">
        <v>15</v>
      </c>
      <c r="Y8">
        <v>-1.61</v>
      </c>
      <c r="Z8">
        <v>-1.5051909999999999</v>
      </c>
      <c r="AA8">
        <v>0.1051</v>
      </c>
      <c r="AB8">
        <v>-6.5269999999999995E-2</v>
      </c>
      <c r="AC8">
        <v>0.462231</v>
      </c>
      <c r="AD8">
        <v>0.48416999999999999</v>
      </c>
      <c r="AE8">
        <v>4.7461999999999997E-2</v>
      </c>
      <c r="AF8">
        <v>0.96099999999999997</v>
      </c>
      <c r="AG8">
        <v>0</v>
      </c>
      <c r="AI8" t="s">
        <v>15</v>
      </c>
      <c r="AJ8">
        <v>-1.58</v>
      </c>
      <c r="AK8">
        <v>-1.62199</v>
      </c>
      <c r="AL8">
        <v>-4.1360000000000001E-2</v>
      </c>
      <c r="AM8">
        <v>2.6169000000000001E-2</v>
      </c>
      <c r="AN8">
        <v>0.49632700000000002</v>
      </c>
      <c r="AO8">
        <v>0.51403500000000002</v>
      </c>
      <c r="AP8">
        <v>3.5680000000000003E-2</v>
      </c>
      <c r="AQ8">
        <v>0.95899999999999996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-7.8972939999999996</v>
      </c>
      <c r="E9">
        <v>1.788E-2</v>
      </c>
      <c r="F9">
        <v>-2.2599999999999999E-3</v>
      </c>
      <c r="G9">
        <v>0.56162100000000004</v>
      </c>
      <c r="H9">
        <v>0.55859800000000004</v>
      </c>
      <c r="I9">
        <v>-5.3819999999999996E-3</v>
      </c>
      <c r="J9">
        <v>0.95299999999999996</v>
      </c>
      <c r="K9">
        <v>0</v>
      </c>
      <c r="M9" t="s">
        <v>16</v>
      </c>
      <c r="N9">
        <v>-7.9048999999999996</v>
      </c>
      <c r="O9">
        <v>-7.8026920000000004</v>
      </c>
      <c r="P9">
        <v>0.1022</v>
      </c>
      <c r="Q9">
        <v>-1.2930000000000001E-2</v>
      </c>
      <c r="R9">
        <v>0.62146100000000004</v>
      </c>
      <c r="S9">
        <v>0.62461999999999995</v>
      </c>
      <c r="T9">
        <v>5.0800000000000003E-3</v>
      </c>
      <c r="U9">
        <v>0.95899999999999996</v>
      </c>
      <c r="V9">
        <v>0</v>
      </c>
      <c r="X9" t="s">
        <v>16</v>
      </c>
      <c r="Y9">
        <v>-7.92</v>
      </c>
      <c r="Z9">
        <v>-7.8972939999999996</v>
      </c>
      <c r="AA9">
        <v>1.788E-2</v>
      </c>
      <c r="AB9">
        <v>-2.2599999999999999E-3</v>
      </c>
      <c r="AC9">
        <v>0.56162100000000004</v>
      </c>
      <c r="AD9">
        <v>0.55859800000000004</v>
      </c>
      <c r="AE9">
        <v>-5.3819999999999996E-3</v>
      </c>
      <c r="AF9">
        <v>0.95299999999999996</v>
      </c>
      <c r="AG9">
        <v>0</v>
      </c>
      <c r="AI9" t="s">
        <v>16</v>
      </c>
      <c r="AJ9">
        <v>-7.78</v>
      </c>
      <c r="AK9">
        <v>-7.8026920000000004</v>
      </c>
      <c r="AL9">
        <v>-2.6259999999999999E-2</v>
      </c>
      <c r="AM9">
        <v>3.3769999999999998E-3</v>
      </c>
      <c r="AN9">
        <v>0.62146100000000004</v>
      </c>
      <c r="AO9">
        <v>0.62461999999999995</v>
      </c>
      <c r="AP9">
        <v>5.0800000000000003E-3</v>
      </c>
      <c r="AQ9">
        <v>0.95699999999999996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5.8647859999999996</v>
      </c>
      <c r="E10">
        <v>-3.3500000000000001E-3</v>
      </c>
      <c r="F10">
        <v>-5.6999999999999998E-4</v>
      </c>
      <c r="G10">
        <v>3.7694999999999999E-2</v>
      </c>
      <c r="H10">
        <v>3.9779000000000002E-2</v>
      </c>
      <c r="I10">
        <v>5.5286000000000002E-2</v>
      </c>
      <c r="J10">
        <v>0.96799999999999997</v>
      </c>
      <c r="K10">
        <v>0</v>
      </c>
      <c r="M10" t="s">
        <v>17</v>
      </c>
      <c r="N10">
        <v>5.8287000000000004</v>
      </c>
      <c r="O10">
        <v>5.8544669999999996</v>
      </c>
      <c r="P10">
        <v>2.581E-2</v>
      </c>
      <c r="Q10">
        <v>4.4299999999999999E-3</v>
      </c>
      <c r="R10">
        <v>3.6956999999999997E-2</v>
      </c>
      <c r="S10">
        <v>3.9931000000000001E-2</v>
      </c>
      <c r="T10">
        <v>8.0479999999999996E-2</v>
      </c>
      <c r="U10">
        <v>0.94199999999999995</v>
      </c>
      <c r="V10">
        <v>0</v>
      </c>
      <c r="X10" t="s">
        <v>17</v>
      </c>
      <c r="Y10">
        <v>5.87</v>
      </c>
      <c r="Z10">
        <v>5.8647859999999996</v>
      </c>
      <c r="AA10">
        <v>-3.3500000000000001E-3</v>
      </c>
      <c r="AB10">
        <v>-5.6999999999999998E-4</v>
      </c>
      <c r="AC10">
        <v>3.7694999999999999E-2</v>
      </c>
      <c r="AD10">
        <v>3.9779000000000002E-2</v>
      </c>
      <c r="AE10">
        <v>5.5286000000000002E-2</v>
      </c>
      <c r="AF10">
        <v>0.96799999999999997</v>
      </c>
      <c r="AG10">
        <v>0</v>
      </c>
      <c r="AI10" t="s">
        <v>17</v>
      </c>
      <c r="AJ10">
        <v>5.86</v>
      </c>
      <c r="AK10">
        <v>5.8544669999999996</v>
      </c>
      <c r="AL10">
        <v>-9.9399999999999992E-3</v>
      </c>
      <c r="AM10">
        <v>-1.696E-3</v>
      </c>
      <c r="AN10">
        <v>3.6956999999999997E-2</v>
      </c>
      <c r="AO10">
        <v>3.9931000000000001E-2</v>
      </c>
      <c r="AP10">
        <v>8.0479999999999996E-2</v>
      </c>
      <c r="AQ10">
        <v>0.95299999999999996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2.4145E-2</v>
      </c>
      <c r="E11">
        <v>-4.2700000000000004E-3</v>
      </c>
      <c r="F11">
        <v>-0.15031</v>
      </c>
      <c r="G11">
        <v>2.8681000000000002E-2</v>
      </c>
      <c r="H11">
        <v>3.1244000000000001E-2</v>
      </c>
      <c r="I11">
        <v>8.9372999999999994E-2</v>
      </c>
      <c r="J11">
        <v>0.97799999999999998</v>
      </c>
      <c r="K11">
        <v>0</v>
      </c>
      <c r="M11" t="s">
        <v>18</v>
      </c>
      <c r="N11">
        <v>6.8000000000000005E-2</v>
      </c>
      <c r="O11">
        <v>3.3685E-2</v>
      </c>
      <c r="P11">
        <v>-3.4349999999999999E-2</v>
      </c>
      <c r="Q11">
        <v>-0.50490000000000002</v>
      </c>
      <c r="R11">
        <v>2.8247999999999999E-2</v>
      </c>
      <c r="S11">
        <v>3.1287000000000002E-2</v>
      </c>
      <c r="T11">
        <v>0.10755000000000001</v>
      </c>
      <c r="U11">
        <v>0.85899999999999999</v>
      </c>
      <c r="V11">
        <v>0</v>
      </c>
      <c r="X11" t="s">
        <v>18</v>
      </c>
      <c r="Y11">
        <v>0.03</v>
      </c>
      <c r="Z11">
        <v>2.4145E-2</v>
      </c>
      <c r="AA11">
        <v>-4.2700000000000004E-3</v>
      </c>
      <c r="AB11">
        <v>-0.15031</v>
      </c>
      <c r="AC11">
        <v>2.8681000000000002E-2</v>
      </c>
      <c r="AD11">
        <v>3.1244000000000001E-2</v>
      </c>
      <c r="AE11">
        <v>8.9372999999999994E-2</v>
      </c>
      <c r="AF11">
        <v>0.97799999999999998</v>
      </c>
      <c r="AG11">
        <v>0</v>
      </c>
      <c r="AI11" t="s">
        <v>18</v>
      </c>
      <c r="AJ11">
        <v>0.03</v>
      </c>
      <c r="AK11">
        <v>3.3685E-2</v>
      </c>
      <c r="AL11">
        <v>1.58E-3</v>
      </c>
      <c r="AM11">
        <v>4.9112000000000003E-2</v>
      </c>
      <c r="AN11">
        <v>2.8247999999999999E-2</v>
      </c>
      <c r="AO11">
        <v>3.1287000000000002E-2</v>
      </c>
      <c r="AP11">
        <v>0.10755000000000001</v>
      </c>
      <c r="AQ11">
        <v>0.97599999999999998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82</v>
      </c>
      <c r="M13" s="1" t="s">
        <v>83</v>
      </c>
      <c r="X13" s="1" t="s">
        <v>84</v>
      </c>
      <c r="AI13" s="1" t="s">
        <v>85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>
        <v>107.0774</v>
      </c>
      <c r="D15">
        <v>107.64100000000001</v>
      </c>
      <c r="E15">
        <v>0.56359999999999999</v>
      </c>
      <c r="F15">
        <v>5.2599999999999999E-3</v>
      </c>
      <c r="G15">
        <v>1.9875</v>
      </c>
      <c r="H15">
        <v>2.0815999999999999</v>
      </c>
      <c r="I15">
        <v>4.7347E-2</v>
      </c>
      <c r="J15">
        <v>0.95699999999999996</v>
      </c>
      <c r="K15">
        <v>1</v>
      </c>
      <c r="M15" t="s">
        <v>12</v>
      </c>
      <c r="N15">
        <v>105.9799</v>
      </c>
      <c r="O15">
        <v>109.2269</v>
      </c>
      <c r="P15">
        <v>3.2469299999999999</v>
      </c>
      <c r="Q15">
        <v>3.0640000000000001E-2</v>
      </c>
      <c r="R15">
        <v>1.9894000000000001</v>
      </c>
      <c r="S15">
        <v>2.0182000000000002</v>
      </c>
      <c r="T15">
        <v>1.4508999999999999E-2</v>
      </c>
      <c r="U15">
        <v>0.63500000000000001</v>
      </c>
      <c r="V15">
        <v>1</v>
      </c>
      <c r="X15" t="s">
        <v>12</v>
      </c>
      <c r="Y15">
        <v>107.08</v>
      </c>
      <c r="Z15">
        <v>107.64100000000001</v>
      </c>
      <c r="AA15">
        <v>0.56359999999999999</v>
      </c>
      <c r="AB15">
        <v>5.2599999999999999E-3</v>
      </c>
      <c r="AC15">
        <v>1.9875</v>
      </c>
      <c r="AD15">
        <v>2.0815999999999999</v>
      </c>
      <c r="AE15">
        <v>4.7347E-2</v>
      </c>
      <c r="AF15">
        <v>0.95699999999999996</v>
      </c>
      <c r="AG15">
        <v>1</v>
      </c>
      <c r="AI15" t="s">
        <v>12</v>
      </c>
      <c r="AJ15">
        <v>106.81</v>
      </c>
      <c r="AK15">
        <v>109.2269</v>
      </c>
      <c r="AL15">
        <v>2.4144100000000002</v>
      </c>
      <c r="AM15">
        <v>2.2599999999999999E-2</v>
      </c>
      <c r="AN15">
        <v>1.9894000000000001</v>
      </c>
      <c r="AO15">
        <v>2.0182000000000002</v>
      </c>
      <c r="AP15">
        <v>1.4508999999999999E-2</v>
      </c>
      <c r="AQ15">
        <v>0.77700000000000002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-4.6211000000000002</v>
      </c>
      <c r="E16">
        <v>0.14757000000000001</v>
      </c>
      <c r="F16">
        <v>-3.0949999999999998E-2</v>
      </c>
      <c r="G16">
        <v>0.75580000000000003</v>
      </c>
      <c r="H16">
        <v>0.78480000000000005</v>
      </c>
      <c r="I16">
        <v>3.8429999999999999E-2</v>
      </c>
      <c r="J16">
        <v>0.95299999999999996</v>
      </c>
      <c r="K16">
        <v>1</v>
      </c>
      <c r="M16" t="s">
        <v>13</v>
      </c>
      <c r="N16">
        <v>-5.1665999999999999</v>
      </c>
      <c r="O16">
        <v>-4.617</v>
      </c>
      <c r="P16">
        <v>0.54961000000000004</v>
      </c>
      <c r="Q16">
        <v>-0.10638</v>
      </c>
      <c r="R16">
        <v>0.80089999999999995</v>
      </c>
      <c r="S16">
        <v>0.80759999999999998</v>
      </c>
      <c r="T16">
        <v>8.3680000000000004E-3</v>
      </c>
      <c r="U16">
        <v>0.90200000000000002</v>
      </c>
      <c r="V16">
        <v>0.998</v>
      </c>
      <c r="X16" t="s">
        <v>13</v>
      </c>
      <c r="Y16">
        <v>-4.7699999999999996</v>
      </c>
      <c r="Z16">
        <v>-4.6211000000000002</v>
      </c>
      <c r="AA16">
        <v>0.14757000000000001</v>
      </c>
      <c r="AB16">
        <v>-3.0949999999999998E-2</v>
      </c>
      <c r="AC16">
        <v>0.75580000000000003</v>
      </c>
      <c r="AD16">
        <v>0.78480000000000005</v>
      </c>
      <c r="AE16">
        <v>3.8429999999999999E-2</v>
      </c>
      <c r="AF16">
        <v>0.95299999999999996</v>
      </c>
      <c r="AG16">
        <v>1</v>
      </c>
      <c r="AI16" t="s">
        <v>13</v>
      </c>
      <c r="AJ16">
        <v>-4.8</v>
      </c>
      <c r="AK16">
        <v>-4.617</v>
      </c>
      <c r="AL16">
        <v>0.18232000000000001</v>
      </c>
      <c r="AM16">
        <v>-3.7990000000000003E-2</v>
      </c>
      <c r="AN16">
        <v>0.80089999999999995</v>
      </c>
      <c r="AO16">
        <v>0.80759999999999998</v>
      </c>
      <c r="AP16">
        <v>8.3680000000000004E-3</v>
      </c>
      <c r="AQ16">
        <v>0.95199999999999996</v>
      </c>
      <c r="AR16">
        <v>0.998</v>
      </c>
      <c r="AS16" s="14"/>
    </row>
    <row r="17" spans="1:47" x14ac:dyDescent="0.25">
      <c r="A17" s="14"/>
      <c r="B17" t="s">
        <v>14</v>
      </c>
      <c r="C17">
        <v>8.6966999999999999</v>
      </c>
      <c r="D17">
        <v>7.0959000000000003</v>
      </c>
      <c r="E17">
        <v>-1.60076</v>
      </c>
      <c r="F17">
        <v>-0.18406</v>
      </c>
      <c r="G17">
        <v>0.46839999999999998</v>
      </c>
      <c r="H17">
        <v>0.47239999999999999</v>
      </c>
      <c r="I17">
        <v>8.7200000000000003E-3</v>
      </c>
      <c r="J17">
        <v>7.2999999999999995E-2</v>
      </c>
      <c r="K17">
        <v>1</v>
      </c>
      <c r="M17" t="s">
        <v>14</v>
      </c>
      <c r="N17">
        <v>8.6967999999999996</v>
      </c>
      <c r="O17">
        <v>6.5930999999999997</v>
      </c>
      <c r="P17">
        <v>-2.1037499999999998</v>
      </c>
      <c r="Q17">
        <v>-0.2419</v>
      </c>
      <c r="R17">
        <v>0.51619999999999999</v>
      </c>
      <c r="S17">
        <v>0.50249999999999995</v>
      </c>
      <c r="T17">
        <v>-2.6557999999999998E-2</v>
      </c>
      <c r="U17">
        <v>1.7999999999999999E-2</v>
      </c>
      <c r="V17">
        <v>1</v>
      </c>
      <c r="X17" t="s">
        <v>14</v>
      </c>
      <c r="Y17">
        <v>8.6999999999999993</v>
      </c>
      <c r="Z17">
        <v>7.0959000000000003</v>
      </c>
      <c r="AA17">
        <v>-1.60076</v>
      </c>
      <c r="AB17">
        <v>-0.18406</v>
      </c>
      <c r="AC17">
        <v>0.46839999999999998</v>
      </c>
      <c r="AD17">
        <v>0.47239999999999999</v>
      </c>
      <c r="AE17">
        <v>8.7200000000000003E-3</v>
      </c>
      <c r="AF17">
        <v>7.2999999999999995E-2</v>
      </c>
      <c r="AG17">
        <v>1</v>
      </c>
      <c r="AI17" t="s">
        <v>14</v>
      </c>
      <c r="AJ17">
        <v>8.6999999999999993</v>
      </c>
      <c r="AK17">
        <v>6.5930999999999997</v>
      </c>
      <c r="AL17">
        <v>-2.1091199999999999</v>
      </c>
      <c r="AM17">
        <v>-0.24237</v>
      </c>
      <c r="AN17">
        <v>0.51619999999999999</v>
      </c>
      <c r="AO17">
        <v>0.50249999999999995</v>
      </c>
      <c r="AP17">
        <v>-2.6557999999999998E-2</v>
      </c>
      <c r="AQ17">
        <v>1.7999999999999999E-2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-1.7574000000000001</v>
      </c>
      <c r="E18">
        <v>-0.14712</v>
      </c>
      <c r="F18">
        <v>9.1370000000000007E-2</v>
      </c>
      <c r="G18">
        <v>0.47299999999999998</v>
      </c>
      <c r="H18">
        <v>0.50429999999999997</v>
      </c>
      <c r="I18">
        <v>6.6263000000000002E-2</v>
      </c>
      <c r="J18">
        <v>0.96199999999999997</v>
      </c>
      <c r="K18">
        <v>0.94599999999999995</v>
      </c>
      <c r="M18" t="s">
        <v>15</v>
      </c>
      <c r="N18">
        <v>-1.5933999999999999</v>
      </c>
      <c r="O18">
        <v>-2.1465999999999998</v>
      </c>
      <c r="P18">
        <v>-0.55313000000000001</v>
      </c>
      <c r="Q18">
        <v>0.34712999999999999</v>
      </c>
      <c r="R18">
        <v>0.48780000000000001</v>
      </c>
      <c r="S18">
        <v>0.50319999999999998</v>
      </c>
      <c r="T18">
        <v>3.1456999999999999E-2</v>
      </c>
      <c r="U18">
        <v>0.81699999999999995</v>
      </c>
      <c r="V18">
        <v>0.99299999999999999</v>
      </c>
      <c r="X18" t="s">
        <v>15</v>
      </c>
      <c r="Y18">
        <v>-1.61</v>
      </c>
      <c r="Z18">
        <v>-1.7574000000000001</v>
      </c>
      <c r="AA18">
        <v>-0.14712</v>
      </c>
      <c r="AB18">
        <v>9.1370000000000007E-2</v>
      </c>
      <c r="AC18">
        <v>0.47299999999999998</v>
      </c>
      <c r="AD18">
        <v>0.50429999999999997</v>
      </c>
      <c r="AE18">
        <v>6.6263000000000002E-2</v>
      </c>
      <c r="AF18">
        <v>0.96199999999999997</v>
      </c>
      <c r="AG18">
        <v>0.94599999999999995</v>
      </c>
      <c r="AI18" t="s">
        <v>15</v>
      </c>
      <c r="AJ18">
        <v>-1.58</v>
      </c>
      <c r="AK18">
        <v>-2.1465999999999998</v>
      </c>
      <c r="AL18">
        <v>-0.56594</v>
      </c>
      <c r="AM18">
        <v>0.35804999999999998</v>
      </c>
      <c r="AN18">
        <v>0.48780000000000001</v>
      </c>
      <c r="AO18">
        <v>0.50319999999999998</v>
      </c>
      <c r="AP18">
        <v>3.1456999999999999E-2</v>
      </c>
      <c r="AQ18">
        <v>0.80900000000000005</v>
      </c>
      <c r="AR18">
        <v>0.99299999999999999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-6.3606999999999996</v>
      </c>
      <c r="E19">
        <v>1.5544800000000001</v>
      </c>
      <c r="F19">
        <v>-0.19639000000000001</v>
      </c>
      <c r="G19">
        <v>0.61819999999999997</v>
      </c>
      <c r="H19">
        <v>0.60909999999999997</v>
      </c>
      <c r="I19">
        <v>-1.4748000000000001E-2</v>
      </c>
      <c r="J19">
        <v>0.27800000000000002</v>
      </c>
      <c r="K19">
        <v>1</v>
      </c>
      <c r="M19" t="s">
        <v>16</v>
      </c>
      <c r="N19">
        <v>-7.9048999999999996</v>
      </c>
      <c r="O19">
        <v>-5.6734</v>
      </c>
      <c r="P19">
        <v>2.2315200000000002</v>
      </c>
      <c r="Q19">
        <v>-0.2823</v>
      </c>
      <c r="R19">
        <v>0.66569999999999996</v>
      </c>
      <c r="S19">
        <v>0.63660000000000005</v>
      </c>
      <c r="T19">
        <v>-4.3616000000000002E-2</v>
      </c>
      <c r="U19">
        <v>8.2000000000000003E-2</v>
      </c>
      <c r="V19">
        <v>1</v>
      </c>
      <c r="X19" t="s">
        <v>16</v>
      </c>
      <c r="Y19">
        <v>-7.92</v>
      </c>
      <c r="Z19">
        <v>-6.3606999999999996</v>
      </c>
      <c r="AA19">
        <v>1.5544800000000001</v>
      </c>
      <c r="AB19">
        <v>-0.19639000000000001</v>
      </c>
      <c r="AC19">
        <v>0.61819999999999997</v>
      </c>
      <c r="AD19">
        <v>0.60909999999999997</v>
      </c>
      <c r="AE19">
        <v>-1.4748000000000001E-2</v>
      </c>
      <c r="AF19">
        <v>0.27800000000000002</v>
      </c>
      <c r="AG19">
        <v>1</v>
      </c>
      <c r="AI19" t="s">
        <v>16</v>
      </c>
      <c r="AJ19">
        <v>-7.78</v>
      </c>
      <c r="AK19">
        <v>-5.6734</v>
      </c>
      <c r="AL19">
        <v>2.1030500000000001</v>
      </c>
      <c r="AM19">
        <v>-0.27044000000000001</v>
      </c>
      <c r="AN19">
        <v>0.66569999999999996</v>
      </c>
      <c r="AO19">
        <v>0.63660000000000005</v>
      </c>
      <c r="AP19">
        <v>-4.3616000000000002E-2</v>
      </c>
      <c r="AQ19">
        <v>0.112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5.8628999999999998</v>
      </c>
      <c r="E20">
        <v>-5.2700000000000004E-3</v>
      </c>
      <c r="F20">
        <v>-8.9999999999999998E-4</v>
      </c>
      <c r="G20">
        <v>4.2099999999999999E-2</v>
      </c>
      <c r="H20">
        <v>4.1799999999999997E-2</v>
      </c>
      <c r="I20">
        <v>-7.7809999999999997E-3</v>
      </c>
      <c r="J20">
        <v>0.94099999999999995</v>
      </c>
      <c r="K20">
        <v>1</v>
      </c>
      <c r="M20" t="s">
        <v>17</v>
      </c>
      <c r="N20">
        <v>5.8287000000000004</v>
      </c>
      <c r="O20">
        <v>5.9097</v>
      </c>
      <c r="P20">
        <v>8.1089999999999995E-2</v>
      </c>
      <c r="Q20">
        <v>1.391E-2</v>
      </c>
      <c r="R20">
        <v>3.7900000000000003E-2</v>
      </c>
      <c r="S20">
        <v>3.78E-2</v>
      </c>
      <c r="T20">
        <v>-4.1390000000000003E-3</v>
      </c>
      <c r="U20">
        <v>0.43</v>
      </c>
      <c r="V20">
        <v>1</v>
      </c>
      <c r="X20" t="s">
        <v>17</v>
      </c>
      <c r="Y20">
        <v>5.87</v>
      </c>
      <c r="Z20">
        <v>5.8628999999999998</v>
      </c>
      <c r="AA20">
        <v>-5.2700000000000004E-3</v>
      </c>
      <c r="AB20">
        <v>-8.9999999999999998E-4</v>
      </c>
      <c r="AC20">
        <v>4.2099999999999999E-2</v>
      </c>
      <c r="AD20">
        <v>4.1799999999999997E-2</v>
      </c>
      <c r="AE20">
        <v>-7.7809999999999997E-3</v>
      </c>
      <c r="AF20">
        <v>0.94099999999999995</v>
      </c>
      <c r="AG20">
        <v>1</v>
      </c>
      <c r="AI20" t="s">
        <v>17</v>
      </c>
      <c r="AJ20">
        <v>5.86</v>
      </c>
      <c r="AK20">
        <v>5.9097</v>
      </c>
      <c r="AL20">
        <v>4.5330000000000002E-2</v>
      </c>
      <c r="AM20">
        <v>7.7299999999999999E-3</v>
      </c>
      <c r="AN20">
        <v>3.7900000000000003E-2</v>
      </c>
      <c r="AO20">
        <v>3.78E-2</v>
      </c>
      <c r="AP20">
        <v>-4.1390000000000003E-3</v>
      </c>
      <c r="AQ20">
        <v>0.77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3.85E-2</v>
      </c>
      <c r="E21">
        <v>1.009E-2</v>
      </c>
      <c r="F21">
        <v>0.35519000000000001</v>
      </c>
      <c r="G21">
        <v>2.5899999999999999E-2</v>
      </c>
      <c r="H21">
        <v>2.5100000000000001E-2</v>
      </c>
      <c r="I21">
        <v>-2.9468000000000001E-2</v>
      </c>
      <c r="J21">
        <v>0.92600000000000005</v>
      </c>
      <c r="K21">
        <v>0.35199999999999998</v>
      </c>
      <c r="M21" t="s">
        <v>18</v>
      </c>
      <c r="N21">
        <v>6.8000000000000005E-2</v>
      </c>
      <c r="O21">
        <v>4.8000000000000001E-2</v>
      </c>
      <c r="P21">
        <v>-2.0029999999999999E-2</v>
      </c>
      <c r="Q21">
        <v>-0.29444999999999999</v>
      </c>
      <c r="R21">
        <v>2.2200000000000001E-2</v>
      </c>
      <c r="S21">
        <v>2.1700000000000001E-2</v>
      </c>
      <c r="T21">
        <v>-2.2633E-2</v>
      </c>
      <c r="U21">
        <v>0.83299999999999996</v>
      </c>
      <c r="V21">
        <v>0.59699999999999998</v>
      </c>
      <c r="X21" t="s">
        <v>18</v>
      </c>
      <c r="Y21">
        <v>0.03</v>
      </c>
      <c r="Z21">
        <v>3.85E-2</v>
      </c>
      <c r="AA21">
        <v>1.009E-2</v>
      </c>
      <c r="AB21">
        <v>0.35519000000000001</v>
      </c>
      <c r="AC21">
        <v>2.5899999999999999E-2</v>
      </c>
      <c r="AD21">
        <v>2.5100000000000001E-2</v>
      </c>
      <c r="AE21">
        <v>-2.9468000000000001E-2</v>
      </c>
      <c r="AF21">
        <v>0.92600000000000005</v>
      </c>
      <c r="AG21">
        <v>0.35199999999999998</v>
      </c>
      <c r="AI21" t="s">
        <v>18</v>
      </c>
      <c r="AJ21">
        <v>0.03</v>
      </c>
      <c r="AK21">
        <v>4.8000000000000001E-2</v>
      </c>
      <c r="AL21">
        <v>1.5890000000000001E-2</v>
      </c>
      <c r="AM21">
        <v>0.49503000000000003</v>
      </c>
      <c r="AN21">
        <v>2.2200000000000001E-2</v>
      </c>
      <c r="AO21">
        <v>2.1700000000000001E-2</v>
      </c>
      <c r="AP21">
        <v>-2.2633E-2</v>
      </c>
      <c r="AQ21">
        <v>0.88100000000000001</v>
      </c>
      <c r="AR21">
        <v>0.59699999999999998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71</v>
      </c>
      <c r="M23" s="1" t="s">
        <v>86</v>
      </c>
      <c r="X23" s="1" t="s">
        <v>87</v>
      </c>
      <c r="AI23" s="1" t="s">
        <v>72</v>
      </c>
      <c r="AS23" s="13" t="s">
        <v>69</v>
      </c>
    </row>
    <row r="24" spans="1:47" hidden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idden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idden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idden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idden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idden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idden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idden="1" x14ac:dyDescent="0.25"/>
    <row r="33" spans="1:47" x14ac:dyDescent="0.25">
      <c r="A33" s="13" t="s">
        <v>69</v>
      </c>
      <c r="B33" s="1" t="s">
        <v>74</v>
      </c>
      <c r="M33" s="1" t="s">
        <v>75</v>
      </c>
      <c r="X33" s="1" t="s">
        <v>95</v>
      </c>
      <c r="AI33" s="1" t="s">
        <v>73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>
        <v>107.0774</v>
      </c>
      <c r="D35">
        <v>107.62566200000001</v>
      </c>
      <c r="E35">
        <v>0.54825000000000002</v>
      </c>
      <c r="F35">
        <v>5.1200000000000004E-3</v>
      </c>
      <c r="G35">
        <v>5.4748219999999996</v>
      </c>
      <c r="H35">
        <v>6.2397390000000001</v>
      </c>
      <c r="I35">
        <v>0.13972000000000001</v>
      </c>
      <c r="J35">
        <v>0.96399999999999997</v>
      </c>
      <c r="K35">
        <v>0</v>
      </c>
      <c r="M35" t="s">
        <v>12</v>
      </c>
      <c r="N35">
        <v>105.9799</v>
      </c>
      <c r="O35">
        <v>108.1874</v>
      </c>
      <c r="P35">
        <v>2.2074600000000002</v>
      </c>
      <c r="Q35">
        <v>2.0830000000000001E-2</v>
      </c>
      <c r="R35">
        <v>6.5824809999999996</v>
      </c>
      <c r="S35">
        <v>7.5640869999999998</v>
      </c>
      <c r="T35">
        <v>0.14912</v>
      </c>
      <c r="U35">
        <v>0.93500000000000005</v>
      </c>
      <c r="V35">
        <v>0</v>
      </c>
      <c r="X35" t="s">
        <v>12</v>
      </c>
      <c r="Y35">
        <v>107.08</v>
      </c>
      <c r="Z35">
        <v>107.62566200000001</v>
      </c>
      <c r="AA35">
        <v>0.54825000000000002</v>
      </c>
      <c r="AB35">
        <v>5.1200000000000004E-3</v>
      </c>
      <c r="AC35">
        <v>5.4748219999999996</v>
      </c>
      <c r="AD35">
        <v>6.2397390000000001</v>
      </c>
      <c r="AE35">
        <v>0.13972000000000001</v>
      </c>
      <c r="AF35">
        <v>0.96399999999999997</v>
      </c>
      <c r="AG35">
        <v>0</v>
      </c>
      <c r="AI35" t="s">
        <v>12</v>
      </c>
      <c r="AJ35">
        <v>106.81</v>
      </c>
      <c r="AK35">
        <v>108.1874</v>
      </c>
      <c r="AL35">
        <v>1.3749400000000001</v>
      </c>
      <c r="AM35">
        <v>1.2869999999999999E-2</v>
      </c>
      <c r="AN35">
        <v>6.5824809999999996</v>
      </c>
      <c r="AO35">
        <v>7.5640869999999998</v>
      </c>
      <c r="AP35">
        <v>0.14912</v>
      </c>
      <c r="AQ35">
        <v>0.94899999999999995</v>
      </c>
      <c r="AR35">
        <v>0</v>
      </c>
      <c r="AS35" s="14"/>
    </row>
    <row r="36" spans="1:47" x14ac:dyDescent="0.25">
      <c r="A36" s="14"/>
      <c r="B36" t="s">
        <v>13</v>
      </c>
      <c r="C36">
        <v>-4.7686000000000002</v>
      </c>
      <c r="D36">
        <v>-4.952623</v>
      </c>
      <c r="E36">
        <v>-0.18398</v>
      </c>
      <c r="F36">
        <v>3.8580000000000003E-2</v>
      </c>
      <c r="G36">
        <v>2.2622650000000002</v>
      </c>
      <c r="H36">
        <v>2.4877449999999999</v>
      </c>
      <c r="I36">
        <v>9.9669999999999995E-2</v>
      </c>
      <c r="J36">
        <v>0.97699999999999998</v>
      </c>
      <c r="K36">
        <v>0</v>
      </c>
      <c r="M36" t="s">
        <v>13</v>
      </c>
      <c r="N36">
        <v>-5.1665999999999999</v>
      </c>
      <c r="O36">
        <v>-4.6201860000000003</v>
      </c>
      <c r="P36">
        <v>0.54639000000000004</v>
      </c>
      <c r="Q36">
        <v>-0.10575</v>
      </c>
      <c r="R36">
        <v>2.5550039999999998</v>
      </c>
      <c r="S36">
        <v>2.8653379999999999</v>
      </c>
      <c r="T36">
        <v>0.12146</v>
      </c>
      <c r="U36">
        <v>0.94299999999999995</v>
      </c>
      <c r="V36">
        <v>0</v>
      </c>
      <c r="X36" t="s">
        <v>13</v>
      </c>
      <c r="Y36">
        <v>-4.7699999999999996</v>
      </c>
      <c r="Z36">
        <v>-4.952623</v>
      </c>
      <c r="AA36">
        <v>-0.18398</v>
      </c>
      <c r="AB36">
        <v>3.8580000000000003E-2</v>
      </c>
      <c r="AC36">
        <v>2.2622650000000002</v>
      </c>
      <c r="AD36">
        <v>2.4877449999999999</v>
      </c>
      <c r="AE36">
        <v>9.9669999999999995E-2</v>
      </c>
      <c r="AF36">
        <v>0.97699999999999998</v>
      </c>
      <c r="AG36">
        <v>0</v>
      </c>
      <c r="AI36" t="s">
        <v>13</v>
      </c>
      <c r="AJ36">
        <v>-4.8</v>
      </c>
      <c r="AK36">
        <v>-4.6201860000000003</v>
      </c>
      <c r="AL36">
        <v>0.17910000000000001</v>
      </c>
      <c r="AM36">
        <v>-3.7319999999999999E-2</v>
      </c>
      <c r="AN36">
        <v>2.5550039999999998</v>
      </c>
      <c r="AO36">
        <v>2.8653379999999999</v>
      </c>
      <c r="AP36">
        <v>0.12146</v>
      </c>
      <c r="AQ36">
        <v>0.95399999999999996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8.6966999999999999</v>
      </c>
      <c r="D37">
        <v>8.6857489999999995</v>
      </c>
      <c r="E37">
        <v>-1.095E-2</v>
      </c>
      <c r="F37">
        <v>-1.2600000000000001E-3</v>
      </c>
      <c r="G37">
        <v>1.0635619999999999</v>
      </c>
      <c r="H37">
        <v>1.046513</v>
      </c>
      <c r="I37">
        <v>-1.6029999999999999E-2</v>
      </c>
      <c r="J37">
        <v>0.94899999999999995</v>
      </c>
      <c r="K37">
        <v>0</v>
      </c>
      <c r="M37" t="s">
        <v>14</v>
      </c>
      <c r="N37">
        <v>8.6967999999999996</v>
      </c>
      <c r="O37">
        <v>8.6969049999999992</v>
      </c>
      <c r="P37">
        <v>6.9999999999999994E-5</v>
      </c>
      <c r="Q37">
        <v>1.0000000000000001E-5</v>
      </c>
      <c r="R37">
        <v>1.113756</v>
      </c>
      <c r="S37">
        <v>1.0870439999999999</v>
      </c>
      <c r="T37">
        <v>-2.3980000000000001E-2</v>
      </c>
      <c r="U37">
        <v>0.95199999999999996</v>
      </c>
      <c r="V37">
        <v>0</v>
      </c>
      <c r="X37" t="s">
        <v>14</v>
      </c>
      <c r="Y37">
        <v>8.6999999999999993</v>
      </c>
      <c r="Z37">
        <v>8.6857489999999995</v>
      </c>
      <c r="AA37">
        <v>-1.095E-2</v>
      </c>
      <c r="AB37">
        <v>-1.2600000000000001E-3</v>
      </c>
      <c r="AC37">
        <v>1.0635619999999999</v>
      </c>
      <c r="AD37">
        <v>1.046513</v>
      </c>
      <c r="AE37">
        <v>-1.6029999999999999E-2</v>
      </c>
      <c r="AF37">
        <v>0.94899999999999995</v>
      </c>
      <c r="AG37">
        <v>0</v>
      </c>
      <c r="AI37" t="s">
        <v>14</v>
      </c>
      <c r="AJ37">
        <v>8.6999999999999993</v>
      </c>
      <c r="AK37">
        <v>8.6969049999999992</v>
      </c>
      <c r="AL37">
        <v>-5.3E-3</v>
      </c>
      <c r="AM37">
        <v>-6.0999999999999997E-4</v>
      </c>
      <c r="AN37">
        <v>1.113756</v>
      </c>
      <c r="AO37">
        <v>1.0870439999999999</v>
      </c>
      <c r="AP37">
        <v>-2.3980000000000001E-2</v>
      </c>
      <c r="AQ37">
        <v>0.95299999999999996</v>
      </c>
      <c r="AR37">
        <v>0</v>
      </c>
      <c r="AS37" s="14"/>
    </row>
    <row r="38" spans="1:47" x14ac:dyDescent="0.25">
      <c r="A38" s="14"/>
      <c r="B38" t="s">
        <v>15</v>
      </c>
      <c r="C38">
        <v>-1.6103000000000001</v>
      </c>
      <c r="D38">
        <v>-1.3046530000000001</v>
      </c>
      <c r="E38">
        <v>0.30564000000000002</v>
      </c>
      <c r="F38">
        <v>-0.1898</v>
      </c>
      <c r="G38">
        <v>1.1964269999999999</v>
      </c>
      <c r="H38">
        <v>1.183343</v>
      </c>
      <c r="I38">
        <v>-1.094E-2</v>
      </c>
      <c r="J38">
        <v>0.95899999999999996</v>
      </c>
      <c r="K38">
        <v>0</v>
      </c>
      <c r="M38" t="s">
        <v>15</v>
      </c>
      <c r="N38">
        <v>-1.5933999999999999</v>
      </c>
      <c r="O38">
        <v>-1.4594769999999999</v>
      </c>
      <c r="P38">
        <v>0.13396</v>
      </c>
      <c r="Q38">
        <v>-8.4070000000000006E-2</v>
      </c>
      <c r="R38">
        <v>1.5157210000000001</v>
      </c>
      <c r="S38">
        <v>1.492094</v>
      </c>
      <c r="T38">
        <v>-1.559E-2</v>
      </c>
      <c r="U38">
        <v>0.95399999999999996</v>
      </c>
      <c r="V38">
        <v>0</v>
      </c>
      <c r="X38" t="s">
        <v>15</v>
      </c>
      <c r="Y38">
        <v>-1.61</v>
      </c>
      <c r="Z38">
        <v>-1.3046530000000001</v>
      </c>
      <c r="AA38">
        <v>0.30564000000000002</v>
      </c>
      <c r="AB38">
        <v>-0.1898</v>
      </c>
      <c r="AC38">
        <v>1.1964269999999999</v>
      </c>
      <c r="AD38">
        <v>1.183343</v>
      </c>
      <c r="AE38">
        <v>-1.094E-2</v>
      </c>
      <c r="AF38">
        <v>0.95899999999999996</v>
      </c>
      <c r="AG38">
        <v>0</v>
      </c>
      <c r="AI38" t="s">
        <v>15</v>
      </c>
      <c r="AJ38">
        <v>-1.58</v>
      </c>
      <c r="AK38">
        <v>-1.4594769999999999</v>
      </c>
      <c r="AL38">
        <v>0.12114999999999999</v>
      </c>
      <c r="AM38">
        <v>-7.6649999999999996E-2</v>
      </c>
      <c r="AN38">
        <v>1.5157210000000001</v>
      </c>
      <c r="AO38">
        <v>1.492094</v>
      </c>
      <c r="AP38">
        <v>-1.559E-2</v>
      </c>
      <c r="AQ38">
        <v>0.95399999999999996</v>
      </c>
      <c r="AR38">
        <v>0</v>
      </c>
      <c r="AS38" s="14"/>
    </row>
    <row r="39" spans="1:47" x14ac:dyDescent="0.25">
      <c r="A39" s="14"/>
      <c r="B39" t="s">
        <v>16</v>
      </c>
      <c r="C39">
        <v>-7.9151999999999996</v>
      </c>
      <c r="D39">
        <v>-7.6984409999999999</v>
      </c>
      <c r="E39">
        <v>0.21673000000000001</v>
      </c>
      <c r="F39">
        <v>-2.7380000000000002E-2</v>
      </c>
      <c r="G39">
        <v>1.398517</v>
      </c>
      <c r="H39">
        <v>1.398215</v>
      </c>
      <c r="I39">
        <v>-2.2000000000000001E-4</v>
      </c>
      <c r="J39">
        <v>0.95</v>
      </c>
      <c r="K39">
        <v>0</v>
      </c>
      <c r="M39" t="s">
        <v>16</v>
      </c>
      <c r="N39">
        <v>-7.9048999999999996</v>
      </c>
      <c r="O39">
        <v>-7.6606509999999997</v>
      </c>
      <c r="P39">
        <v>0.24424000000000001</v>
      </c>
      <c r="Q39">
        <v>-3.09E-2</v>
      </c>
      <c r="R39">
        <v>1.5043150000000001</v>
      </c>
      <c r="S39">
        <v>1.452199</v>
      </c>
      <c r="T39">
        <v>-3.4639999999999997E-2</v>
      </c>
      <c r="U39">
        <v>0.94699999999999995</v>
      </c>
      <c r="V39">
        <v>0</v>
      </c>
      <c r="X39" t="s">
        <v>16</v>
      </c>
      <c r="Y39">
        <v>-7.92</v>
      </c>
      <c r="Z39">
        <v>-7.6984409999999999</v>
      </c>
      <c r="AA39">
        <v>0.21673000000000001</v>
      </c>
      <c r="AB39">
        <v>-2.7380000000000002E-2</v>
      </c>
      <c r="AC39">
        <v>1.398517</v>
      </c>
      <c r="AD39">
        <v>1.398215</v>
      </c>
      <c r="AE39">
        <v>-2.2000000000000001E-4</v>
      </c>
      <c r="AF39">
        <v>0.95</v>
      </c>
      <c r="AG39">
        <v>0</v>
      </c>
      <c r="AI39" t="s">
        <v>16</v>
      </c>
      <c r="AJ39">
        <v>-7.78</v>
      </c>
      <c r="AK39">
        <v>-7.6606509999999997</v>
      </c>
      <c r="AL39">
        <v>0.11577999999999999</v>
      </c>
      <c r="AM39">
        <v>-1.489E-2</v>
      </c>
      <c r="AN39">
        <v>1.5043150000000001</v>
      </c>
      <c r="AO39">
        <v>1.452199</v>
      </c>
      <c r="AP39">
        <v>-3.4639999999999997E-2</v>
      </c>
      <c r="AQ39">
        <v>0.95</v>
      </c>
      <c r="AR39">
        <v>0</v>
      </c>
      <c r="AS39" s="14"/>
    </row>
    <row r="40" spans="1:47" x14ac:dyDescent="0.25">
      <c r="A40" s="14"/>
      <c r="B40" t="s">
        <v>17</v>
      </c>
      <c r="C40">
        <v>5.8681000000000001</v>
      </c>
      <c r="D40">
        <v>5.9247670000000001</v>
      </c>
      <c r="E40">
        <v>5.663E-2</v>
      </c>
      <c r="F40">
        <v>9.6500000000000006E-3</v>
      </c>
      <c r="G40">
        <v>0.165074</v>
      </c>
      <c r="H40">
        <v>0.188522</v>
      </c>
      <c r="I40">
        <v>0.14205000000000001</v>
      </c>
      <c r="J40">
        <v>0.97899999999999998</v>
      </c>
      <c r="K40">
        <v>0</v>
      </c>
      <c r="M40" t="s">
        <v>17</v>
      </c>
      <c r="N40">
        <v>5.8287000000000004</v>
      </c>
      <c r="O40">
        <v>5.9142169999999998</v>
      </c>
      <c r="P40">
        <v>8.5559999999999997E-2</v>
      </c>
      <c r="Q40">
        <v>1.468E-2</v>
      </c>
      <c r="R40">
        <v>0.17901600000000001</v>
      </c>
      <c r="S40">
        <v>0.21026600000000001</v>
      </c>
      <c r="T40">
        <v>0.17455999999999999</v>
      </c>
      <c r="U40">
        <v>0.97399999999999998</v>
      </c>
      <c r="V40">
        <v>0</v>
      </c>
      <c r="X40" t="s">
        <v>17</v>
      </c>
      <c r="Y40">
        <v>5.87</v>
      </c>
      <c r="Z40">
        <v>5.9247670000000001</v>
      </c>
      <c r="AA40">
        <v>5.663E-2</v>
      </c>
      <c r="AB40">
        <v>9.6500000000000006E-3</v>
      </c>
      <c r="AC40">
        <v>0.165074</v>
      </c>
      <c r="AD40">
        <v>0.188522</v>
      </c>
      <c r="AE40">
        <v>0.14205000000000001</v>
      </c>
      <c r="AF40">
        <v>0.97899999999999998</v>
      </c>
      <c r="AG40">
        <v>0</v>
      </c>
      <c r="AI40" t="s">
        <v>17</v>
      </c>
      <c r="AJ40">
        <v>5.86</v>
      </c>
      <c r="AK40">
        <v>5.9142169999999998</v>
      </c>
      <c r="AL40">
        <v>4.981E-2</v>
      </c>
      <c r="AM40">
        <v>8.4899999999999993E-3</v>
      </c>
      <c r="AN40">
        <v>0.17901600000000001</v>
      </c>
      <c r="AO40">
        <v>0.21026600000000001</v>
      </c>
      <c r="AP40">
        <v>0.17455999999999999</v>
      </c>
      <c r="AQ40">
        <v>0.98499999999999999</v>
      </c>
      <c r="AR40">
        <v>0</v>
      </c>
      <c r="AS40" s="14"/>
    </row>
    <row r="41" spans="1:47" x14ac:dyDescent="0.25">
      <c r="A41" s="14"/>
      <c r="B41" t="s">
        <v>18</v>
      </c>
      <c r="C41">
        <v>2.8400000000000002E-2</v>
      </c>
      <c r="D41">
        <v>-2.5503000000000001E-2</v>
      </c>
      <c r="E41">
        <v>-5.3920000000000003E-2</v>
      </c>
      <c r="F41">
        <v>-1.8974500000000001</v>
      </c>
      <c r="G41">
        <v>0.15335699999999999</v>
      </c>
      <c r="H41">
        <v>0.17469999999999999</v>
      </c>
      <c r="I41">
        <v>0.13918</v>
      </c>
      <c r="J41">
        <v>0.98299999999999998</v>
      </c>
      <c r="K41">
        <v>0</v>
      </c>
      <c r="M41" t="s">
        <v>18</v>
      </c>
      <c r="N41">
        <v>6.8000000000000005E-2</v>
      </c>
      <c r="O41">
        <v>-1.443E-2</v>
      </c>
      <c r="P41">
        <v>-8.2470000000000002E-2</v>
      </c>
      <c r="Q41">
        <v>-1.2120899999999999</v>
      </c>
      <c r="R41">
        <v>0.17118700000000001</v>
      </c>
      <c r="S41">
        <v>0.20085700000000001</v>
      </c>
      <c r="T41">
        <v>0.17332</v>
      </c>
      <c r="U41">
        <v>0.97299999999999998</v>
      </c>
      <c r="V41">
        <v>0</v>
      </c>
      <c r="X41" t="s">
        <v>18</v>
      </c>
      <c r="Y41">
        <v>0.03</v>
      </c>
      <c r="Z41">
        <v>-2.5503000000000001E-2</v>
      </c>
      <c r="AA41">
        <v>-5.3920000000000003E-2</v>
      </c>
      <c r="AB41">
        <v>-1.8974500000000001</v>
      </c>
      <c r="AC41">
        <v>0.15335699999999999</v>
      </c>
      <c r="AD41">
        <v>0.17469999999999999</v>
      </c>
      <c r="AE41">
        <v>0.13918</v>
      </c>
      <c r="AF41">
        <v>0.98299999999999998</v>
      </c>
      <c r="AG41">
        <v>0</v>
      </c>
      <c r="AI41" t="s">
        <v>18</v>
      </c>
      <c r="AJ41">
        <v>0.03</v>
      </c>
      <c r="AK41">
        <v>-1.443E-2</v>
      </c>
      <c r="AL41">
        <v>-4.6539999999999998E-2</v>
      </c>
      <c r="AM41">
        <v>-1.4494</v>
      </c>
      <c r="AN41">
        <v>0.17118700000000001</v>
      </c>
      <c r="AO41">
        <v>0.20085700000000001</v>
      </c>
      <c r="AP41">
        <v>0.17332</v>
      </c>
      <c r="AQ41">
        <v>0.98699999999999999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88</v>
      </c>
      <c r="M43" s="1" t="s">
        <v>89</v>
      </c>
      <c r="X43" s="1" t="s">
        <v>90</v>
      </c>
      <c r="AI43" s="1" t="s">
        <v>91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>
        <v>107.0774</v>
      </c>
      <c r="D45">
        <v>106.6258</v>
      </c>
      <c r="E45">
        <v>-0.45166000000000001</v>
      </c>
      <c r="F45">
        <v>-4.2199999999999998E-3</v>
      </c>
      <c r="G45">
        <v>3.2839</v>
      </c>
      <c r="H45">
        <v>3.2395</v>
      </c>
      <c r="I45">
        <v>-1.3538E-2</v>
      </c>
      <c r="J45">
        <v>0.94799999999999995</v>
      </c>
      <c r="K45">
        <v>1</v>
      </c>
      <c r="M45" t="s">
        <v>12</v>
      </c>
      <c r="N45">
        <v>105.9799</v>
      </c>
      <c r="O45">
        <v>107.58880000000001</v>
      </c>
      <c r="P45">
        <v>1.6089100000000001</v>
      </c>
      <c r="Q45">
        <v>1.5180000000000001E-2</v>
      </c>
      <c r="R45">
        <v>4.3418999999999999</v>
      </c>
      <c r="S45">
        <v>4.1135999999999999</v>
      </c>
      <c r="T45">
        <v>-5.2578E-2</v>
      </c>
      <c r="U45">
        <v>0.90600000000000003</v>
      </c>
      <c r="V45">
        <v>1</v>
      </c>
      <c r="X45" t="s">
        <v>12</v>
      </c>
      <c r="Y45">
        <v>107.08</v>
      </c>
      <c r="Z45">
        <v>106.6258</v>
      </c>
      <c r="AA45">
        <v>-0.45166000000000001</v>
      </c>
      <c r="AB45">
        <v>-4.2199999999999998E-3</v>
      </c>
      <c r="AC45">
        <v>3.2839</v>
      </c>
      <c r="AD45">
        <v>3.2395</v>
      </c>
      <c r="AE45">
        <v>-1.3538E-2</v>
      </c>
      <c r="AF45">
        <v>0.94799999999999995</v>
      </c>
      <c r="AG45">
        <v>1</v>
      </c>
      <c r="AI45" t="s">
        <v>12</v>
      </c>
      <c r="AJ45">
        <v>106.81</v>
      </c>
      <c r="AK45">
        <v>107.58880000000001</v>
      </c>
      <c r="AL45">
        <v>0.77639000000000002</v>
      </c>
      <c r="AM45">
        <v>7.2700000000000004E-3</v>
      </c>
      <c r="AN45">
        <v>4.3418999999999999</v>
      </c>
      <c r="AO45">
        <v>4.1135999999999999</v>
      </c>
      <c r="AP45">
        <v>-5.2578E-2</v>
      </c>
      <c r="AQ45">
        <v>0.93</v>
      </c>
      <c r="AR45">
        <v>1</v>
      </c>
      <c r="AS45" s="14"/>
    </row>
    <row r="46" spans="1:47" x14ac:dyDescent="0.25">
      <c r="A46" s="14"/>
      <c r="B46" t="s">
        <v>13</v>
      </c>
      <c r="C46">
        <v>-4.7686000000000002</v>
      </c>
      <c r="D46">
        <v>-4.7073</v>
      </c>
      <c r="E46">
        <v>6.13E-2</v>
      </c>
      <c r="F46">
        <v>-1.286E-2</v>
      </c>
      <c r="G46">
        <v>1.371</v>
      </c>
      <c r="H46">
        <v>1.3012999999999999</v>
      </c>
      <c r="I46">
        <v>-5.0862999999999998E-2</v>
      </c>
      <c r="J46">
        <v>0.93500000000000005</v>
      </c>
      <c r="K46">
        <v>0.95399999999999996</v>
      </c>
      <c r="M46" t="s">
        <v>13</v>
      </c>
      <c r="N46">
        <v>-5.1665999999999999</v>
      </c>
      <c r="O46">
        <v>-4.4576000000000002</v>
      </c>
      <c r="P46">
        <v>0.70899000000000001</v>
      </c>
      <c r="Q46">
        <v>-0.13722999999999999</v>
      </c>
      <c r="R46">
        <v>1.6695</v>
      </c>
      <c r="S46">
        <v>1.5487</v>
      </c>
      <c r="T46">
        <v>-7.2313000000000002E-2</v>
      </c>
      <c r="U46">
        <v>0.88900000000000001</v>
      </c>
      <c r="V46">
        <v>0.82799999999999996</v>
      </c>
      <c r="X46" t="s">
        <v>13</v>
      </c>
      <c r="Y46">
        <v>-4.7699999999999996</v>
      </c>
      <c r="Z46">
        <v>-4.7073</v>
      </c>
      <c r="AA46">
        <v>6.13E-2</v>
      </c>
      <c r="AB46">
        <v>-1.286E-2</v>
      </c>
      <c r="AC46">
        <v>1.371</v>
      </c>
      <c r="AD46">
        <v>1.3012999999999999</v>
      </c>
      <c r="AE46">
        <v>-5.0862999999999998E-2</v>
      </c>
      <c r="AF46">
        <v>0.93500000000000005</v>
      </c>
      <c r="AG46">
        <v>0.95399999999999996</v>
      </c>
      <c r="AI46" t="s">
        <v>13</v>
      </c>
      <c r="AJ46">
        <v>-4.8</v>
      </c>
      <c r="AK46">
        <v>-4.4576000000000002</v>
      </c>
      <c r="AL46">
        <v>0.3417</v>
      </c>
      <c r="AM46">
        <v>-7.1199999999999999E-2</v>
      </c>
      <c r="AN46">
        <v>1.6695</v>
      </c>
      <c r="AO46">
        <v>1.5487</v>
      </c>
      <c r="AP46">
        <v>-7.2313000000000002E-2</v>
      </c>
      <c r="AQ46">
        <v>0.92200000000000004</v>
      </c>
      <c r="AR46">
        <v>0.82799999999999996</v>
      </c>
      <c r="AS46" s="14"/>
    </row>
    <row r="47" spans="1:47" x14ac:dyDescent="0.25">
      <c r="A47" s="14"/>
      <c r="B47" t="s">
        <v>14</v>
      </c>
      <c r="C47">
        <v>8.6966999999999999</v>
      </c>
      <c r="D47">
        <v>8.5617999999999999</v>
      </c>
      <c r="E47">
        <v>-0.13494999999999999</v>
      </c>
      <c r="F47">
        <v>-1.5520000000000001E-2</v>
      </c>
      <c r="G47">
        <v>0.80459999999999998</v>
      </c>
      <c r="H47">
        <v>0.78239999999999998</v>
      </c>
      <c r="I47">
        <v>-2.7560999999999999E-2</v>
      </c>
      <c r="J47">
        <v>0.94599999999999995</v>
      </c>
      <c r="K47">
        <v>1</v>
      </c>
      <c r="M47" t="s">
        <v>14</v>
      </c>
      <c r="N47">
        <v>8.6967999999999996</v>
      </c>
      <c r="O47">
        <v>8.5701999999999998</v>
      </c>
      <c r="P47">
        <v>-0.12664</v>
      </c>
      <c r="Q47">
        <v>-1.456E-2</v>
      </c>
      <c r="R47">
        <v>0.91579999999999995</v>
      </c>
      <c r="S47">
        <v>0.87329999999999997</v>
      </c>
      <c r="T47">
        <v>-4.6429999999999999E-2</v>
      </c>
      <c r="U47">
        <v>0.93899999999999995</v>
      </c>
      <c r="V47">
        <v>1</v>
      </c>
      <c r="X47" t="s">
        <v>14</v>
      </c>
      <c r="Y47">
        <v>8.6999999999999993</v>
      </c>
      <c r="Z47">
        <v>8.5617999999999999</v>
      </c>
      <c r="AA47">
        <v>-0.13494999999999999</v>
      </c>
      <c r="AB47">
        <v>-1.5520000000000001E-2</v>
      </c>
      <c r="AC47">
        <v>0.80459999999999998</v>
      </c>
      <c r="AD47">
        <v>0.78239999999999998</v>
      </c>
      <c r="AE47">
        <v>-2.7560999999999999E-2</v>
      </c>
      <c r="AF47">
        <v>0.94599999999999995</v>
      </c>
      <c r="AG47">
        <v>1</v>
      </c>
      <c r="AI47" t="s">
        <v>14</v>
      </c>
      <c r="AJ47">
        <v>8.6999999999999993</v>
      </c>
      <c r="AK47">
        <v>8.5701999999999998</v>
      </c>
      <c r="AL47">
        <v>-0.13200999999999999</v>
      </c>
      <c r="AM47">
        <v>-1.5169999999999999E-2</v>
      </c>
      <c r="AN47">
        <v>0.91579999999999995</v>
      </c>
      <c r="AO47">
        <v>0.87329999999999997</v>
      </c>
      <c r="AP47">
        <v>-4.6429999999999999E-2</v>
      </c>
      <c r="AQ47">
        <v>0.93799999999999994</v>
      </c>
      <c r="AR47">
        <v>1</v>
      </c>
      <c r="AS47" s="14"/>
    </row>
    <row r="48" spans="1:47" x14ac:dyDescent="0.25">
      <c r="A48" s="14"/>
      <c r="B48" t="s">
        <v>15</v>
      </c>
      <c r="C48">
        <v>-1.6103000000000001</v>
      </c>
      <c r="D48">
        <v>-1.5739000000000001</v>
      </c>
      <c r="E48">
        <v>3.6400000000000002E-2</v>
      </c>
      <c r="F48">
        <v>-2.2599999999999999E-2</v>
      </c>
      <c r="G48">
        <v>0.82130000000000003</v>
      </c>
      <c r="H48">
        <v>0.80420000000000003</v>
      </c>
      <c r="I48">
        <v>-2.0788000000000001E-2</v>
      </c>
      <c r="J48">
        <v>0.94699999999999995</v>
      </c>
      <c r="K48">
        <v>0.52700000000000002</v>
      </c>
      <c r="M48" t="s">
        <v>15</v>
      </c>
      <c r="N48">
        <v>-1.5933999999999999</v>
      </c>
      <c r="O48">
        <v>-1.8556999999999999</v>
      </c>
      <c r="P48">
        <v>-0.26224999999999998</v>
      </c>
      <c r="Q48">
        <v>0.16458</v>
      </c>
      <c r="R48">
        <v>1.1093999999999999</v>
      </c>
      <c r="S48">
        <v>1.0422</v>
      </c>
      <c r="T48">
        <v>-6.0588000000000003E-2</v>
      </c>
      <c r="U48">
        <v>0.92500000000000004</v>
      </c>
      <c r="V48">
        <v>0.47599999999999998</v>
      </c>
      <c r="X48" t="s">
        <v>15</v>
      </c>
      <c r="Y48">
        <v>-1.61</v>
      </c>
      <c r="Z48">
        <v>-1.5739000000000001</v>
      </c>
      <c r="AA48">
        <v>3.6400000000000002E-2</v>
      </c>
      <c r="AB48">
        <v>-2.2599999999999999E-2</v>
      </c>
      <c r="AC48">
        <v>0.82130000000000003</v>
      </c>
      <c r="AD48">
        <v>0.80420000000000003</v>
      </c>
      <c r="AE48">
        <v>-2.0788000000000001E-2</v>
      </c>
      <c r="AF48">
        <v>0.94699999999999995</v>
      </c>
      <c r="AG48">
        <v>0.52700000000000002</v>
      </c>
      <c r="AI48" t="s">
        <v>15</v>
      </c>
      <c r="AJ48">
        <v>-1.58</v>
      </c>
      <c r="AK48">
        <v>-1.8556999999999999</v>
      </c>
      <c r="AL48">
        <v>-0.27506000000000003</v>
      </c>
      <c r="AM48">
        <v>0.17402000000000001</v>
      </c>
      <c r="AN48">
        <v>1.1093999999999999</v>
      </c>
      <c r="AO48">
        <v>1.0422</v>
      </c>
      <c r="AP48">
        <v>-6.0588000000000003E-2</v>
      </c>
      <c r="AQ48">
        <v>0.92200000000000004</v>
      </c>
      <c r="AR48">
        <v>0.47599999999999998</v>
      </c>
      <c r="AS48" s="14"/>
    </row>
    <row r="49" spans="1:45" x14ac:dyDescent="0.25">
      <c r="A49" s="14"/>
      <c r="B49" t="s">
        <v>16</v>
      </c>
      <c r="C49">
        <v>-7.9151999999999996</v>
      </c>
      <c r="D49">
        <v>-7.9053000000000004</v>
      </c>
      <c r="E49">
        <v>9.9100000000000004E-3</v>
      </c>
      <c r="F49">
        <v>-1.25E-3</v>
      </c>
      <c r="G49">
        <v>1.0834999999999999</v>
      </c>
      <c r="H49">
        <v>1.0338000000000001</v>
      </c>
      <c r="I49">
        <v>-4.5803999999999997E-2</v>
      </c>
      <c r="J49">
        <v>0.94299999999999995</v>
      </c>
      <c r="K49">
        <v>1</v>
      </c>
      <c r="M49" t="s">
        <v>16</v>
      </c>
      <c r="N49">
        <v>-7.9048999999999996</v>
      </c>
      <c r="O49">
        <v>-7.8372000000000002</v>
      </c>
      <c r="P49">
        <v>6.7650000000000002E-2</v>
      </c>
      <c r="Q49">
        <v>-8.5599999999999999E-3</v>
      </c>
      <c r="R49">
        <v>1.2358</v>
      </c>
      <c r="S49">
        <v>1.1483000000000001</v>
      </c>
      <c r="T49">
        <v>-7.0787000000000003E-2</v>
      </c>
      <c r="U49">
        <v>0.94</v>
      </c>
      <c r="V49">
        <v>0.998</v>
      </c>
      <c r="X49" t="s">
        <v>16</v>
      </c>
      <c r="Y49">
        <v>-7.92</v>
      </c>
      <c r="Z49">
        <v>-7.9053000000000004</v>
      </c>
      <c r="AA49">
        <v>9.9100000000000004E-3</v>
      </c>
      <c r="AB49">
        <v>-1.25E-3</v>
      </c>
      <c r="AC49">
        <v>1.0834999999999999</v>
      </c>
      <c r="AD49">
        <v>1.0338000000000001</v>
      </c>
      <c r="AE49">
        <v>-4.5803999999999997E-2</v>
      </c>
      <c r="AF49">
        <v>0.94299999999999995</v>
      </c>
      <c r="AG49">
        <v>1</v>
      </c>
      <c r="AI49" t="s">
        <v>16</v>
      </c>
      <c r="AJ49">
        <v>-7.78</v>
      </c>
      <c r="AK49">
        <v>-7.8372000000000002</v>
      </c>
      <c r="AL49">
        <v>-6.0810000000000003E-2</v>
      </c>
      <c r="AM49">
        <v>7.8200000000000006E-3</v>
      </c>
      <c r="AN49">
        <v>1.2358</v>
      </c>
      <c r="AO49">
        <v>1.1483000000000001</v>
      </c>
      <c r="AP49">
        <v>-7.0787000000000003E-2</v>
      </c>
      <c r="AQ49">
        <v>0.93799999999999994</v>
      </c>
      <c r="AR49">
        <v>0.998</v>
      </c>
      <c r="AS49" s="14"/>
    </row>
    <row r="50" spans="1:45" x14ac:dyDescent="0.25">
      <c r="A50" s="14"/>
      <c r="B50" t="s">
        <v>17</v>
      </c>
      <c r="C50">
        <v>5.8681000000000001</v>
      </c>
      <c r="D50">
        <v>5.8597999999999999</v>
      </c>
      <c r="E50">
        <v>-8.3400000000000002E-3</v>
      </c>
      <c r="F50">
        <v>-1.42E-3</v>
      </c>
      <c r="G50">
        <v>6.2399999999999997E-2</v>
      </c>
      <c r="H50">
        <v>6.3500000000000001E-2</v>
      </c>
      <c r="I50">
        <v>1.7426000000000001E-2</v>
      </c>
      <c r="J50">
        <v>0.96499999999999997</v>
      </c>
      <c r="K50">
        <v>1</v>
      </c>
      <c r="M50" t="s">
        <v>17</v>
      </c>
      <c r="N50">
        <v>5.8287000000000004</v>
      </c>
      <c r="O50">
        <v>5.8445</v>
      </c>
      <c r="P50">
        <v>1.583E-2</v>
      </c>
      <c r="Q50">
        <v>2.7200000000000002E-3</v>
      </c>
      <c r="R50">
        <v>6.0900000000000003E-2</v>
      </c>
      <c r="S50">
        <v>6.25E-2</v>
      </c>
      <c r="T50">
        <v>2.6429000000000001E-2</v>
      </c>
      <c r="U50">
        <v>0.93400000000000005</v>
      </c>
      <c r="V50">
        <v>1</v>
      </c>
      <c r="X50" t="s">
        <v>17</v>
      </c>
      <c r="Y50">
        <v>5.87</v>
      </c>
      <c r="Z50">
        <v>5.8597999999999999</v>
      </c>
      <c r="AA50">
        <v>-8.3400000000000002E-3</v>
      </c>
      <c r="AB50">
        <v>-1.42E-3</v>
      </c>
      <c r="AC50">
        <v>6.2399999999999997E-2</v>
      </c>
      <c r="AD50">
        <v>6.3500000000000001E-2</v>
      </c>
      <c r="AE50">
        <v>1.7426000000000001E-2</v>
      </c>
      <c r="AF50">
        <v>0.96499999999999997</v>
      </c>
      <c r="AG50">
        <v>1</v>
      </c>
      <c r="AI50" t="s">
        <v>17</v>
      </c>
      <c r="AJ50">
        <v>5.86</v>
      </c>
      <c r="AK50">
        <v>5.8445</v>
      </c>
      <c r="AL50">
        <v>-1.993E-2</v>
      </c>
      <c r="AM50">
        <v>-3.3999999999999998E-3</v>
      </c>
      <c r="AN50">
        <v>6.0900000000000003E-2</v>
      </c>
      <c r="AO50">
        <v>6.25E-2</v>
      </c>
      <c r="AP50">
        <v>2.6429000000000001E-2</v>
      </c>
      <c r="AQ50">
        <v>0.95799999999999996</v>
      </c>
      <c r="AR50">
        <v>1</v>
      </c>
      <c r="AS50" s="14"/>
    </row>
    <row r="51" spans="1:45" x14ac:dyDescent="0.25">
      <c r="A51" s="14"/>
      <c r="B51" t="s">
        <v>18</v>
      </c>
      <c r="C51">
        <v>2.8400000000000002E-2</v>
      </c>
      <c r="D51">
        <v>3.5400000000000001E-2</v>
      </c>
      <c r="E51">
        <v>6.9499999999999996E-3</v>
      </c>
      <c r="F51">
        <v>0.24442</v>
      </c>
      <c r="G51">
        <v>3.8800000000000001E-2</v>
      </c>
      <c r="H51">
        <v>3.7999999999999999E-2</v>
      </c>
      <c r="I51">
        <v>-1.9302E-2</v>
      </c>
      <c r="J51">
        <v>0.95699999999999996</v>
      </c>
      <c r="K51">
        <v>0.182</v>
      </c>
      <c r="M51" t="s">
        <v>18</v>
      </c>
      <c r="N51">
        <v>6.8000000000000005E-2</v>
      </c>
      <c r="O51">
        <v>5.16E-2</v>
      </c>
      <c r="P51">
        <v>-1.6410000000000001E-2</v>
      </c>
      <c r="Q51">
        <v>-0.24113999999999999</v>
      </c>
      <c r="R51">
        <v>3.6299999999999999E-2</v>
      </c>
      <c r="S51">
        <v>3.5099999999999999E-2</v>
      </c>
      <c r="T51">
        <v>-3.2683999999999998E-2</v>
      </c>
      <c r="U51">
        <v>0.92</v>
      </c>
      <c r="V51">
        <v>0.33</v>
      </c>
      <c r="X51" t="s">
        <v>18</v>
      </c>
      <c r="Y51">
        <v>0.03</v>
      </c>
      <c r="Z51">
        <v>3.5400000000000001E-2</v>
      </c>
      <c r="AA51">
        <v>6.9499999999999996E-3</v>
      </c>
      <c r="AB51">
        <v>0.24442</v>
      </c>
      <c r="AC51">
        <v>3.8800000000000001E-2</v>
      </c>
      <c r="AD51">
        <v>3.7999999999999999E-2</v>
      </c>
      <c r="AE51">
        <v>-1.9302E-2</v>
      </c>
      <c r="AF51">
        <v>0.95699999999999996</v>
      </c>
      <c r="AG51">
        <v>0.182</v>
      </c>
      <c r="AI51" t="s">
        <v>18</v>
      </c>
      <c r="AJ51">
        <v>0.03</v>
      </c>
      <c r="AK51">
        <v>5.16E-2</v>
      </c>
      <c r="AL51">
        <v>1.9519999999999999E-2</v>
      </c>
      <c r="AM51">
        <v>0.60799000000000003</v>
      </c>
      <c r="AN51">
        <v>3.6299999999999999E-2</v>
      </c>
      <c r="AO51">
        <v>3.5099999999999999E-2</v>
      </c>
      <c r="AP51">
        <v>-3.2683999999999998E-2</v>
      </c>
      <c r="AQ51">
        <v>0.90800000000000003</v>
      </c>
      <c r="AR51">
        <v>0.33</v>
      </c>
      <c r="AS51" s="14"/>
    </row>
    <row r="53" spans="1:45" x14ac:dyDescent="0.25">
      <c r="A53" s="13" t="s">
        <v>97</v>
      </c>
      <c r="B53" s="1" t="s">
        <v>92</v>
      </c>
      <c r="M53" s="1" t="s">
        <v>93</v>
      </c>
      <c r="X53" s="1" t="s">
        <v>96</v>
      </c>
      <c r="AI53" s="1" t="s">
        <v>94</v>
      </c>
      <c r="AS53" s="13" t="s">
        <v>97</v>
      </c>
    </row>
    <row r="54" spans="1:45" x14ac:dyDescent="0.25">
      <c r="A54" s="14"/>
      <c r="AS54" s="14"/>
    </row>
    <row r="55" spans="1:45" x14ac:dyDescent="0.25">
      <c r="A55" s="14"/>
      <c r="AS55" s="14"/>
    </row>
    <row r="56" spans="1:45" x14ac:dyDescent="0.25">
      <c r="A56" s="14"/>
      <c r="AS56" s="14"/>
    </row>
    <row r="57" spans="1:45" x14ac:dyDescent="0.25">
      <c r="A57" s="14"/>
      <c r="AS57" s="14"/>
    </row>
    <row r="58" spans="1:45" x14ac:dyDescent="0.25">
      <c r="A58" s="14"/>
      <c r="AS58" s="14"/>
    </row>
    <row r="59" spans="1:45" x14ac:dyDescent="0.25">
      <c r="A59" s="14"/>
      <c r="AS59" s="14"/>
    </row>
    <row r="60" spans="1:45" x14ac:dyDescent="0.25">
      <c r="A60" s="14"/>
      <c r="AS60" s="14"/>
    </row>
    <row r="61" spans="1:45" x14ac:dyDescent="0.25">
      <c r="A61" s="14"/>
      <c r="AS61" s="14"/>
    </row>
    <row r="63" spans="1:45" x14ac:dyDescent="0.25">
      <c r="A63" s="13" t="s">
        <v>98</v>
      </c>
      <c r="B63" s="1" t="s">
        <v>88</v>
      </c>
      <c r="M63" s="1" t="s">
        <v>89</v>
      </c>
      <c r="X63" s="1" t="s">
        <v>90</v>
      </c>
      <c r="AI63" s="1" t="s">
        <v>91</v>
      </c>
      <c r="AS63" s="13" t="s">
        <v>98</v>
      </c>
    </row>
    <row r="64" spans="1:45" x14ac:dyDescent="0.25">
      <c r="A64" s="14"/>
      <c r="AS64" s="14"/>
    </row>
    <row r="65" spans="1:45" x14ac:dyDescent="0.25">
      <c r="A65" s="14"/>
      <c r="AS65" s="14"/>
    </row>
    <row r="66" spans="1:45" x14ac:dyDescent="0.25">
      <c r="A66" s="14"/>
      <c r="AS66" s="14"/>
    </row>
    <row r="67" spans="1:45" x14ac:dyDescent="0.25">
      <c r="A67" s="14"/>
      <c r="AS67" s="14"/>
    </row>
    <row r="68" spans="1:45" x14ac:dyDescent="0.25">
      <c r="A68" s="14"/>
      <c r="AS68" s="14"/>
    </row>
    <row r="69" spans="1:45" x14ac:dyDescent="0.25">
      <c r="A69" s="14"/>
      <c r="AS69" s="14"/>
    </row>
    <row r="70" spans="1:45" x14ac:dyDescent="0.25">
      <c r="A70" s="14"/>
      <c r="AS70" s="14"/>
    </row>
    <row r="71" spans="1:45" x14ac:dyDescent="0.25">
      <c r="A71" s="14"/>
      <c r="AS71" s="14"/>
    </row>
  </sheetData>
  <mergeCells count="20">
    <mergeCell ref="A3:A11"/>
    <mergeCell ref="A13:A21"/>
    <mergeCell ref="A33:A41"/>
    <mergeCell ref="X1:AR1"/>
    <mergeCell ref="AS3:AS11"/>
    <mergeCell ref="AS13:AS21"/>
    <mergeCell ref="AS23:AS31"/>
    <mergeCell ref="AS33:AS41"/>
    <mergeCell ref="X2:AG2"/>
    <mergeCell ref="AI2:AR2"/>
    <mergeCell ref="B1:V1"/>
    <mergeCell ref="B2:K2"/>
    <mergeCell ref="M2:V2"/>
    <mergeCell ref="A53:A61"/>
    <mergeCell ref="A63:A71"/>
    <mergeCell ref="AS53:AS61"/>
    <mergeCell ref="AS63:AS71"/>
    <mergeCell ref="A23:A31"/>
    <mergeCell ref="A43:A51"/>
    <mergeCell ref="AS43:AS51"/>
  </mergeCells>
  <conditionalFormatting sqref="J5:J11">
    <cfRule type="cellIs" dxfId="1207" priority="17" stopIfTrue="1" operator="between">
      <formula>0.9365</formula>
      <formula>0.9635</formula>
    </cfRule>
    <cfRule type="cellIs" dxfId="1206" priority="18" stopIfTrue="1" operator="between">
      <formula>0</formula>
      <formula>1</formula>
    </cfRule>
    <cfRule type="cellIs" dxfId="1205" priority="19" stopIfTrue="1" operator="between">
      <formula>0.8</formula>
      <formula>0.9</formula>
    </cfRule>
    <cfRule type="cellIs" dxfId="1204" priority="20" stopIfTrue="1" operator="between">
      <formula>0</formula>
      <formula>0.8</formula>
    </cfRule>
  </conditionalFormatting>
  <conditionalFormatting sqref="J15:J21">
    <cfRule type="cellIs" dxfId="1203" priority="11" stopIfTrue="1" operator="between">
      <formula>0.8</formula>
      <formula>0.9</formula>
    </cfRule>
    <cfRule type="cellIs" dxfId="1202" priority="9" stopIfTrue="1" operator="between">
      <formula>0.9365</formula>
      <formula>0.9635</formula>
    </cfRule>
    <cfRule type="cellIs" dxfId="1201" priority="10" stopIfTrue="1" operator="between">
      <formula>0</formula>
      <formula>1</formula>
    </cfRule>
    <cfRule type="cellIs" dxfId="1200" priority="12" stopIfTrue="1" operator="between">
      <formula>0</formula>
      <formula>0.8</formula>
    </cfRule>
  </conditionalFormatting>
  <conditionalFormatting sqref="J25:J31">
    <cfRule type="cellIs" dxfId="1199" priority="13" stopIfTrue="1" operator="between">
      <formula>0.95</formula>
      <formula>1</formula>
    </cfRule>
    <cfRule type="cellIs" dxfId="1198" priority="14" stopIfTrue="1" operator="between">
      <formula>0.9</formula>
      <formula>0.95</formula>
    </cfRule>
    <cfRule type="cellIs" dxfId="1197" priority="15" stopIfTrue="1" operator="between">
      <formula>0.8</formula>
      <formula>0.9</formula>
    </cfRule>
    <cfRule type="cellIs" dxfId="1196" priority="16" stopIfTrue="1" operator="between">
      <formula>0</formula>
      <formula>0.8</formula>
    </cfRule>
  </conditionalFormatting>
  <conditionalFormatting sqref="J35:J41">
    <cfRule type="cellIs" dxfId="1195" priority="5" stopIfTrue="1" operator="between">
      <formula>0.9365</formula>
      <formula>0.9635</formula>
    </cfRule>
    <cfRule type="cellIs" dxfId="1194" priority="6" stopIfTrue="1" operator="between">
      <formula>0</formula>
      <formula>1</formula>
    </cfRule>
    <cfRule type="cellIs" dxfId="1193" priority="7" stopIfTrue="1" operator="between">
      <formula>0.8</formula>
      <formula>0.9</formula>
    </cfRule>
    <cfRule type="cellIs" dxfId="1192" priority="8" stopIfTrue="1" operator="between">
      <formula>0</formula>
      <formula>0.8</formula>
    </cfRule>
  </conditionalFormatting>
  <conditionalFormatting sqref="J45:J51">
    <cfRule type="cellIs" dxfId="1191" priority="2" stopIfTrue="1" operator="between">
      <formula>0</formula>
      <formula>1</formula>
    </cfRule>
    <cfRule type="cellIs" dxfId="1190" priority="3" stopIfTrue="1" operator="between">
      <formula>0.8</formula>
      <formula>0.9</formula>
    </cfRule>
    <cfRule type="cellIs" dxfId="1189" priority="4" stopIfTrue="1" operator="between">
      <formula>0</formula>
      <formula>0.8</formula>
    </cfRule>
    <cfRule type="cellIs" dxfId="1188" priority="1" stopIfTrue="1" operator="between">
      <formula>0.9365</formula>
      <formula>0.9635</formula>
    </cfRule>
  </conditionalFormatting>
  <conditionalFormatting sqref="U5:U11">
    <cfRule type="cellIs" dxfId="1187" priority="39" stopIfTrue="1" operator="between">
      <formula>0.8</formula>
      <formula>0.9</formula>
    </cfRule>
    <cfRule type="cellIs" dxfId="1186" priority="37" stopIfTrue="1" operator="between">
      <formula>0.9365</formula>
      <formula>0.9635</formula>
    </cfRule>
    <cfRule type="cellIs" dxfId="1185" priority="38" stopIfTrue="1" operator="between">
      <formula>0</formula>
      <formula>1</formula>
    </cfRule>
    <cfRule type="cellIs" dxfId="1184" priority="40" stopIfTrue="1" operator="between">
      <formula>0</formula>
      <formula>0.8</formula>
    </cfRule>
  </conditionalFormatting>
  <conditionalFormatting sqref="U15:U21">
    <cfRule type="cellIs" dxfId="1183" priority="30" stopIfTrue="1" operator="between">
      <formula>0</formula>
      <formula>1</formula>
    </cfRule>
    <cfRule type="cellIs" dxfId="1182" priority="29" stopIfTrue="1" operator="between">
      <formula>0.9365</formula>
      <formula>0.9635</formula>
    </cfRule>
    <cfRule type="cellIs" dxfId="1181" priority="31" stopIfTrue="1" operator="between">
      <formula>0.8</formula>
      <formula>0.9</formula>
    </cfRule>
    <cfRule type="cellIs" dxfId="1180" priority="32" stopIfTrue="1" operator="between">
      <formula>0</formula>
      <formula>0.8</formula>
    </cfRule>
  </conditionalFormatting>
  <conditionalFormatting sqref="U25:U31">
    <cfRule type="cellIs" dxfId="1179" priority="36" stopIfTrue="1" operator="between">
      <formula>0</formula>
      <formula>0.8</formula>
    </cfRule>
    <cfRule type="cellIs" dxfId="1178" priority="33" stopIfTrue="1" operator="between">
      <formula>0.95</formula>
      <formula>1</formula>
    </cfRule>
    <cfRule type="cellIs" dxfId="1177" priority="34" stopIfTrue="1" operator="between">
      <formula>0.9</formula>
      <formula>0.95</formula>
    </cfRule>
    <cfRule type="cellIs" dxfId="1176" priority="35" stopIfTrue="1" operator="between">
      <formula>0.8</formula>
      <formula>0.9</formula>
    </cfRule>
  </conditionalFormatting>
  <conditionalFormatting sqref="U35:U41">
    <cfRule type="cellIs" dxfId="1175" priority="26" stopIfTrue="1" operator="between">
      <formula>0</formula>
      <formula>1</formula>
    </cfRule>
    <cfRule type="cellIs" dxfId="1174" priority="27" stopIfTrue="1" operator="between">
      <formula>0.8</formula>
      <formula>0.9</formula>
    </cfRule>
    <cfRule type="cellIs" dxfId="1173" priority="28" stopIfTrue="1" operator="between">
      <formula>0</formula>
      <formula>0.8</formula>
    </cfRule>
    <cfRule type="cellIs" dxfId="1172" priority="25" stopIfTrue="1" operator="between">
      <formula>0.9365</formula>
      <formula>0.9635</formula>
    </cfRule>
  </conditionalFormatting>
  <conditionalFormatting sqref="U45:U51">
    <cfRule type="cellIs" dxfId="1171" priority="23" stopIfTrue="1" operator="between">
      <formula>0.8</formula>
      <formula>0.9</formula>
    </cfRule>
    <cfRule type="cellIs" dxfId="1170" priority="22" stopIfTrue="1" operator="between">
      <formula>0</formula>
      <formula>1</formula>
    </cfRule>
    <cfRule type="cellIs" dxfId="1169" priority="21" stopIfTrue="1" operator="between">
      <formula>0.9365</formula>
      <formula>0.9635</formula>
    </cfRule>
    <cfRule type="cellIs" dxfId="1168" priority="24" stopIfTrue="1" operator="between">
      <formula>0</formula>
      <formula>0.8</formula>
    </cfRule>
  </conditionalFormatting>
  <conditionalFormatting sqref="AF5:AF11">
    <cfRule type="cellIs" dxfId="1167" priority="112" stopIfTrue="1" operator="between">
      <formula>0</formula>
      <formula>0.8</formula>
    </cfRule>
    <cfRule type="cellIs" dxfId="1166" priority="109" stopIfTrue="1" operator="between">
      <formula>0.9365</formula>
      <formula>0.9635</formula>
    </cfRule>
    <cfRule type="cellIs" dxfId="1165" priority="110" stopIfTrue="1" operator="between">
      <formula>0</formula>
      <formula>1</formula>
    </cfRule>
    <cfRule type="cellIs" dxfId="1164" priority="111" stopIfTrue="1" operator="between">
      <formula>0.8</formula>
      <formula>0.9</formula>
    </cfRule>
  </conditionalFormatting>
  <conditionalFormatting sqref="AF15:AF21">
    <cfRule type="cellIs" dxfId="1163" priority="72" stopIfTrue="1" operator="between">
      <formula>0</formula>
      <formula>0.8</formula>
    </cfRule>
    <cfRule type="cellIs" dxfId="1162" priority="70" stopIfTrue="1" operator="between">
      <formula>0</formula>
      <formula>1</formula>
    </cfRule>
    <cfRule type="cellIs" dxfId="1161" priority="69" stopIfTrue="1" operator="between">
      <formula>0.9365</formula>
      <formula>0.9635</formula>
    </cfRule>
    <cfRule type="cellIs" dxfId="1160" priority="71" stopIfTrue="1" operator="between">
      <formula>0.8</formula>
      <formula>0.9</formula>
    </cfRule>
  </conditionalFormatting>
  <conditionalFormatting sqref="AF25:AF31">
    <cfRule type="cellIs" dxfId="1159" priority="101" stopIfTrue="1" operator="between">
      <formula>0.95</formula>
      <formula>1</formula>
    </cfRule>
    <cfRule type="cellIs" dxfId="1158" priority="102" stopIfTrue="1" operator="between">
      <formula>0.9</formula>
      <formula>0.95</formula>
    </cfRule>
    <cfRule type="cellIs" dxfId="1157" priority="103" stopIfTrue="1" operator="between">
      <formula>0.8</formula>
      <formula>0.9</formula>
    </cfRule>
    <cfRule type="cellIs" dxfId="1156" priority="104" stopIfTrue="1" operator="between">
      <formula>0</formula>
      <formula>0.8</formula>
    </cfRule>
  </conditionalFormatting>
  <conditionalFormatting sqref="AF35:AF41">
    <cfRule type="cellIs" dxfId="1155" priority="65" stopIfTrue="1" operator="between">
      <formula>0.9365</formula>
      <formula>0.9635</formula>
    </cfRule>
    <cfRule type="cellIs" dxfId="1154" priority="66" stopIfTrue="1" operator="between">
      <formula>0</formula>
      <formula>1</formula>
    </cfRule>
    <cfRule type="cellIs" dxfId="1153" priority="67" stopIfTrue="1" operator="between">
      <formula>0.8</formula>
      <formula>0.9</formula>
    </cfRule>
    <cfRule type="cellIs" dxfId="1152" priority="68" stopIfTrue="1" operator="between">
      <formula>0</formula>
      <formula>0.8</formula>
    </cfRule>
  </conditionalFormatting>
  <conditionalFormatting sqref="AF45:AF51">
    <cfRule type="cellIs" dxfId="1151" priority="61" stopIfTrue="1" operator="between">
      <formula>0.9365</formula>
      <formula>0.9635</formula>
    </cfRule>
    <cfRule type="cellIs" dxfId="1150" priority="62" stopIfTrue="1" operator="between">
      <formula>0</formula>
      <formula>1</formula>
    </cfRule>
    <cfRule type="cellIs" dxfId="1149" priority="63" stopIfTrue="1" operator="between">
      <formula>0.8</formula>
      <formula>0.9</formula>
    </cfRule>
    <cfRule type="cellIs" dxfId="1148" priority="64" stopIfTrue="1" operator="between">
      <formula>0</formula>
      <formula>0.8</formula>
    </cfRule>
  </conditionalFormatting>
  <conditionalFormatting sqref="AQ5:AQ11">
    <cfRule type="cellIs" dxfId="1147" priority="57" stopIfTrue="1" operator="between">
      <formula>0.9365</formula>
      <formula>0.9635</formula>
    </cfRule>
    <cfRule type="cellIs" dxfId="1146" priority="58" stopIfTrue="1" operator="between">
      <formula>0</formula>
      <formula>1</formula>
    </cfRule>
    <cfRule type="cellIs" dxfId="1145" priority="59" stopIfTrue="1" operator="between">
      <formula>0.8</formula>
      <formula>0.9</formula>
    </cfRule>
    <cfRule type="cellIs" dxfId="1144" priority="60" stopIfTrue="1" operator="between">
      <formula>0</formula>
      <formula>0.8</formula>
    </cfRule>
  </conditionalFormatting>
  <conditionalFormatting sqref="AQ15:AQ21">
    <cfRule type="cellIs" dxfId="1143" priority="49" stopIfTrue="1" operator="between">
      <formula>0.9365</formula>
      <formula>0.9635</formula>
    </cfRule>
    <cfRule type="cellIs" dxfId="1142" priority="50" stopIfTrue="1" operator="between">
      <formula>0</formula>
      <formula>1</formula>
    </cfRule>
    <cfRule type="cellIs" dxfId="1141" priority="52" stopIfTrue="1" operator="between">
      <formula>0</formula>
      <formula>0.8</formula>
    </cfRule>
    <cfRule type="cellIs" dxfId="1140" priority="51" stopIfTrue="1" operator="between">
      <formula>0.8</formula>
      <formula>0.9</formula>
    </cfRule>
  </conditionalFormatting>
  <conditionalFormatting sqref="AQ25:AQ31">
    <cfRule type="cellIs" dxfId="1139" priority="53" stopIfTrue="1" operator="between">
      <formula>0.95</formula>
      <formula>1</formula>
    </cfRule>
    <cfRule type="cellIs" dxfId="1138" priority="54" stopIfTrue="1" operator="between">
      <formula>0.9</formula>
      <formula>0.95</formula>
    </cfRule>
    <cfRule type="cellIs" dxfId="1137" priority="55" stopIfTrue="1" operator="between">
      <formula>0.8</formula>
      <formula>0.9</formula>
    </cfRule>
    <cfRule type="cellIs" dxfId="1136" priority="56" stopIfTrue="1" operator="between">
      <formula>0</formula>
      <formula>0.8</formula>
    </cfRule>
  </conditionalFormatting>
  <conditionalFormatting sqref="AQ35:AQ41">
    <cfRule type="cellIs" dxfId="1135" priority="45" stopIfTrue="1" operator="between">
      <formula>0.9365</formula>
      <formula>0.9635</formula>
    </cfRule>
    <cfRule type="cellIs" dxfId="1134" priority="46" stopIfTrue="1" operator="between">
      <formula>0</formula>
      <formula>1</formula>
    </cfRule>
    <cfRule type="cellIs" dxfId="1133" priority="47" stopIfTrue="1" operator="between">
      <formula>0.8</formula>
      <formula>0.9</formula>
    </cfRule>
    <cfRule type="cellIs" dxfId="1132" priority="48" stopIfTrue="1" operator="between">
      <formula>0</formula>
      <formula>0.8</formula>
    </cfRule>
  </conditionalFormatting>
  <conditionalFormatting sqref="AQ45:AQ51">
    <cfRule type="cellIs" dxfId="1131" priority="41" stopIfTrue="1" operator="between">
      <formula>0.9365</formula>
      <formula>0.9635</formula>
    </cfRule>
    <cfRule type="cellIs" dxfId="1130" priority="42" stopIfTrue="1" operator="between">
      <formula>0</formula>
      <formula>1</formula>
    </cfRule>
    <cfRule type="cellIs" dxfId="1129" priority="43" stopIfTrue="1" operator="between">
      <formula>0.8</formula>
      <formula>0.9</formula>
    </cfRule>
    <cfRule type="cellIs" dxfId="1128" priority="44" stopIfTrue="1" operator="between">
      <formula>0</formula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C628-9D68-4817-89B3-57844784A7BE}">
  <dimension ref="A1:Q181"/>
  <sheetViews>
    <sheetView workbookViewId="0">
      <selection activeCell="H8" sqref="H8"/>
    </sheetView>
  </sheetViews>
  <sheetFormatPr defaultRowHeight="15" x14ac:dyDescent="0.25"/>
  <cols>
    <col min="9" max="9" width="81.5703125" bestFit="1" customWidth="1"/>
  </cols>
  <sheetData>
    <row r="1" spans="1:9" x14ac:dyDescent="0.25">
      <c r="A1" t="s">
        <v>146</v>
      </c>
      <c r="B1" t="s">
        <v>554</v>
      </c>
      <c r="C1" t="s">
        <v>428</v>
      </c>
      <c r="D1" t="s">
        <v>429</v>
      </c>
      <c r="E1" t="s">
        <v>430</v>
      </c>
      <c r="F1" t="s">
        <v>226</v>
      </c>
      <c r="G1" t="s">
        <v>431</v>
      </c>
      <c r="H1" t="s">
        <v>432</v>
      </c>
      <c r="I1" t="s">
        <v>433</v>
      </c>
    </row>
    <row r="2" spans="1:9" x14ac:dyDescent="0.25">
      <c r="A2" t="s">
        <v>375</v>
      </c>
      <c r="B2" t="s">
        <v>143</v>
      </c>
      <c r="C2" t="s">
        <v>376</v>
      </c>
      <c r="D2">
        <v>1</v>
      </c>
      <c r="E2">
        <v>0</v>
      </c>
      <c r="F2" t="s">
        <v>140</v>
      </c>
      <c r="H2" t="s">
        <v>160</v>
      </c>
      <c r="I2" t="s">
        <v>426</v>
      </c>
    </row>
    <row r="3" spans="1:9" x14ac:dyDescent="0.25">
      <c r="A3" t="s">
        <v>375</v>
      </c>
      <c r="B3" t="s">
        <v>143</v>
      </c>
      <c r="C3" t="s">
        <v>376</v>
      </c>
      <c r="D3">
        <v>1</v>
      </c>
      <c r="E3">
        <v>0</v>
      </c>
      <c r="F3" t="s">
        <v>275</v>
      </c>
      <c r="H3" t="s">
        <v>161</v>
      </c>
      <c r="I3" t="s">
        <v>434</v>
      </c>
    </row>
    <row r="4" spans="1:9" x14ac:dyDescent="0.25">
      <c r="A4" t="s">
        <v>375</v>
      </c>
      <c r="B4" t="s">
        <v>143</v>
      </c>
      <c r="C4" t="s">
        <v>376</v>
      </c>
      <c r="D4">
        <v>1</v>
      </c>
      <c r="E4">
        <v>0</v>
      </c>
      <c r="F4" t="s">
        <v>377</v>
      </c>
      <c r="H4" t="s">
        <v>339</v>
      </c>
      <c r="I4" t="s">
        <v>435</v>
      </c>
    </row>
    <row r="5" spans="1:9" x14ac:dyDescent="0.25">
      <c r="A5" t="s">
        <v>375</v>
      </c>
      <c r="B5" t="s">
        <v>143</v>
      </c>
      <c r="C5" t="s">
        <v>376</v>
      </c>
      <c r="D5">
        <v>1</v>
      </c>
      <c r="E5">
        <v>0</v>
      </c>
      <c r="F5" t="s">
        <v>378</v>
      </c>
      <c r="H5" t="s">
        <v>340</v>
      </c>
      <c r="I5" t="s">
        <v>436</v>
      </c>
    </row>
    <row r="6" spans="1:9" x14ac:dyDescent="0.25">
      <c r="A6" t="s">
        <v>375</v>
      </c>
      <c r="B6" t="s">
        <v>143</v>
      </c>
      <c r="C6" t="s">
        <v>379</v>
      </c>
      <c r="D6">
        <v>1</v>
      </c>
      <c r="E6">
        <v>0</v>
      </c>
      <c r="F6" t="s">
        <v>140</v>
      </c>
      <c r="H6" t="s">
        <v>341</v>
      </c>
      <c r="I6" t="s">
        <v>437</v>
      </c>
    </row>
    <row r="7" spans="1:9" x14ac:dyDescent="0.25">
      <c r="A7" t="s">
        <v>375</v>
      </c>
      <c r="B7" t="s">
        <v>143</v>
      </c>
      <c r="C7" t="s">
        <v>379</v>
      </c>
      <c r="D7">
        <v>1</v>
      </c>
      <c r="E7">
        <v>0</v>
      </c>
      <c r="F7" t="s">
        <v>275</v>
      </c>
      <c r="H7" t="s">
        <v>342</v>
      </c>
      <c r="I7" t="s">
        <v>438</v>
      </c>
    </row>
    <row r="8" spans="1:9" x14ac:dyDescent="0.25">
      <c r="A8" t="s">
        <v>375</v>
      </c>
      <c r="B8" t="s">
        <v>143</v>
      </c>
      <c r="C8" t="s">
        <v>379</v>
      </c>
      <c r="D8">
        <v>1</v>
      </c>
      <c r="E8">
        <v>0</v>
      </c>
      <c r="F8" t="s">
        <v>377</v>
      </c>
      <c r="H8" t="s">
        <v>343</v>
      </c>
      <c r="I8" t="s">
        <v>439</v>
      </c>
    </row>
    <row r="9" spans="1:9" x14ac:dyDescent="0.25">
      <c r="A9" t="s">
        <v>375</v>
      </c>
      <c r="B9" t="s">
        <v>143</v>
      </c>
      <c r="C9" t="s">
        <v>379</v>
      </c>
      <c r="D9">
        <v>1</v>
      </c>
      <c r="E9">
        <v>0</v>
      </c>
      <c r="F9" t="s">
        <v>378</v>
      </c>
      <c r="H9" t="s">
        <v>344</v>
      </c>
      <c r="I9" t="s">
        <v>440</v>
      </c>
    </row>
    <row r="10" spans="1:9" x14ac:dyDescent="0.25">
      <c r="A10" t="s">
        <v>380</v>
      </c>
      <c r="B10" t="s">
        <v>143</v>
      </c>
      <c r="C10" t="s">
        <v>376</v>
      </c>
      <c r="D10">
        <v>0</v>
      </c>
      <c r="E10">
        <v>0</v>
      </c>
      <c r="F10" t="s">
        <v>140</v>
      </c>
      <c r="G10" t="s">
        <v>441</v>
      </c>
      <c r="H10" t="s">
        <v>162</v>
      </c>
      <c r="I10" t="s">
        <v>442</v>
      </c>
    </row>
    <row r="11" spans="1:9" x14ac:dyDescent="0.25">
      <c r="A11" t="s">
        <v>380</v>
      </c>
      <c r="B11" t="s">
        <v>143</v>
      </c>
      <c r="C11" t="s">
        <v>376</v>
      </c>
      <c r="D11">
        <v>0</v>
      </c>
      <c r="E11">
        <v>0</v>
      </c>
      <c r="F11" t="s">
        <v>275</v>
      </c>
      <c r="G11" t="s">
        <v>441</v>
      </c>
      <c r="H11" t="s">
        <v>165</v>
      </c>
      <c r="I11" t="s">
        <v>443</v>
      </c>
    </row>
    <row r="12" spans="1:9" x14ac:dyDescent="0.25">
      <c r="A12" t="s">
        <v>380</v>
      </c>
      <c r="B12" t="s">
        <v>143</v>
      </c>
      <c r="C12" t="s">
        <v>376</v>
      </c>
      <c r="D12">
        <v>0</v>
      </c>
      <c r="E12">
        <v>0</v>
      </c>
      <c r="F12" t="s">
        <v>140</v>
      </c>
      <c r="G12" t="s">
        <v>444</v>
      </c>
      <c r="H12" t="s">
        <v>166</v>
      </c>
      <c r="I12" t="s">
        <v>445</v>
      </c>
    </row>
    <row r="13" spans="1:9" x14ac:dyDescent="0.25">
      <c r="A13" t="s">
        <v>380</v>
      </c>
      <c r="B13" t="s">
        <v>143</v>
      </c>
      <c r="C13" t="s">
        <v>376</v>
      </c>
      <c r="D13">
        <v>0</v>
      </c>
      <c r="E13">
        <v>0</v>
      </c>
      <c r="F13" t="s">
        <v>275</v>
      </c>
      <c r="G13" t="s">
        <v>444</v>
      </c>
      <c r="H13" t="s">
        <v>167</v>
      </c>
      <c r="I13" t="s">
        <v>446</v>
      </c>
    </row>
    <row r="14" spans="1:9" x14ac:dyDescent="0.25">
      <c r="A14" t="s">
        <v>380</v>
      </c>
      <c r="B14" t="s">
        <v>143</v>
      </c>
      <c r="C14" t="s">
        <v>376</v>
      </c>
      <c r="D14">
        <v>0</v>
      </c>
      <c r="E14">
        <v>0</v>
      </c>
      <c r="F14" t="s">
        <v>377</v>
      </c>
      <c r="G14" t="s">
        <v>441</v>
      </c>
      <c r="H14" t="s">
        <v>345</v>
      </c>
      <c r="I14" t="s">
        <v>447</v>
      </c>
    </row>
    <row r="15" spans="1:9" x14ac:dyDescent="0.25">
      <c r="A15" t="s">
        <v>380</v>
      </c>
      <c r="B15" t="s">
        <v>143</v>
      </c>
      <c r="C15" t="s">
        <v>376</v>
      </c>
      <c r="D15">
        <v>0</v>
      </c>
      <c r="E15">
        <v>0</v>
      </c>
      <c r="F15" t="s">
        <v>378</v>
      </c>
      <c r="G15" t="s">
        <v>441</v>
      </c>
      <c r="H15" t="s">
        <v>346</v>
      </c>
      <c r="I15" t="s">
        <v>448</v>
      </c>
    </row>
    <row r="16" spans="1:9" x14ac:dyDescent="0.25">
      <c r="A16" t="s">
        <v>380</v>
      </c>
      <c r="B16" t="s">
        <v>143</v>
      </c>
      <c r="C16" t="s">
        <v>376</v>
      </c>
      <c r="D16">
        <v>0</v>
      </c>
      <c r="E16">
        <v>0</v>
      </c>
      <c r="F16" t="s">
        <v>377</v>
      </c>
      <c r="G16" t="s">
        <v>444</v>
      </c>
      <c r="H16" t="s">
        <v>385</v>
      </c>
      <c r="I16" t="s">
        <v>449</v>
      </c>
    </row>
    <row r="17" spans="1:9" x14ac:dyDescent="0.25">
      <c r="A17" t="s">
        <v>380</v>
      </c>
      <c r="B17" t="s">
        <v>143</v>
      </c>
      <c r="C17" t="s">
        <v>376</v>
      </c>
      <c r="D17">
        <v>0</v>
      </c>
      <c r="E17">
        <v>0</v>
      </c>
      <c r="F17" t="s">
        <v>378</v>
      </c>
      <c r="G17" t="s">
        <v>444</v>
      </c>
      <c r="H17" t="s">
        <v>386</v>
      </c>
      <c r="I17" t="s">
        <v>450</v>
      </c>
    </row>
    <row r="18" spans="1:9" x14ac:dyDescent="0.25">
      <c r="A18" t="s">
        <v>380</v>
      </c>
      <c r="B18" t="s">
        <v>143</v>
      </c>
      <c r="C18" t="s">
        <v>379</v>
      </c>
      <c r="D18">
        <v>0</v>
      </c>
      <c r="E18">
        <v>0</v>
      </c>
      <c r="F18" t="s">
        <v>140</v>
      </c>
      <c r="G18" t="s">
        <v>441</v>
      </c>
      <c r="H18" t="s">
        <v>347</v>
      </c>
      <c r="I18" t="s">
        <v>451</v>
      </c>
    </row>
    <row r="19" spans="1:9" x14ac:dyDescent="0.25">
      <c r="A19" t="s">
        <v>380</v>
      </c>
      <c r="B19" t="s">
        <v>143</v>
      </c>
      <c r="C19" t="s">
        <v>379</v>
      </c>
      <c r="D19">
        <v>0</v>
      </c>
      <c r="E19">
        <v>0</v>
      </c>
      <c r="F19" t="s">
        <v>275</v>
      </c>
      <c r="G19" t="s">
        <v>441</v>
      </c>
      <c r="H19" t="s">
        <v>348</v>
      </c>
      <c r="I19" t="s">
        <v>452</v>
      </c>
    </row>
    <row r="20" spans="1:9" x14ac:dyDescent="0.25">
      <c r="A20" t="s">
        <v>380</v>
      </c>
      <c r="B20" t="s">
        <v>143</v>
      </c>
      <c r="C20" t="s">
        <v>379</v>
      </c>
      <c r="D20">
        <v>0</v>
      </c>
      <c r="E20">
        <v>0</v>
      </c>
      <c r="F20" t="s">
        <v>140</v>
      </c>
      <c r="G20" t="s">
        <v>444</v>
      </c>
      <c r="H20" t="s">
        <v>387</v>
      </c>
      <c r="I20" t="s">
        <v>445</v>
      </c>
    </row>
    <row r="21" spans="1:9" x14ac:dyDescent="0.25">
      <c r="A21" t="s">
        <v>380</v>
      </c>
      <c r="B21" t="s">
        <v>143</v>
      </c>
      <c r="C21" t="s">
        <v>379</v>
      </c>
      <c r="D21">
        <v>0</v>
      </c>
      <c r="E21">
        <v>0</v>
      </c>
      <c r="F21" t="s">
        <v>275</v>
      </c>
      <c r="G21" t="s">
        <v>444</v>
      </c>
      <c r="H21" t="s">
        <v>388</v>
      </c>
      <c r="I21" t="s">
        <v>446</v>
      </c>
    </row>
    <row r="22" spans="1:9" x14ac:dyDescent="0.25">
      <c r="A22" t="s">
        <v>380</v>
      </c>
      <c r="B22" t="s">
        <v>143</v>
      </c>
      <c r="C22" t="s">
        <v>379</v>
      </c>
      <c r="D22">
        <v>0</v>
      </c>
      <c r="E22">
        <v>0</v>
      </c>
      <c r="F22" t="s">
        <v>377</v>
      </c>
      <c r="G22" t="s">
        <v>441</v>
      </c>
      <c r="H22" t="s">
        <v>349</v>
      </c>
      <c r="I22" t="s">
        <v>453</v>
      </c>
    </row>
    <row r="23" spans="1:9" x14ac:dyDescent="0.25">
      <c r="A23" t="s">
        <v>380</v>
      </c>
      <c r="B23" t="s">
        <v>143</v>
      </c>
      <c r="C23" t="s">
        <v>379</v>
      </c>
      <c r="D23">
        <v>0</v>
      </c>
      <c r="E23">
        <v>0</v>
      </c>
      <c r="F23" t="s">
        <v>378</v>
      </c>
      <c r="G23" t="s">
        <v>441</v>
      </c>
      <c r="H23" t="s">
        <v>350</v>
      </c>
      <c r="I23" t="s">
        <v>454</v>
      </c>
    </row>
    <row r="24" spans="1:9" x14ac:dyDescent="0.25">
      <c r="A24" t="s">
        <v>380</v>
      </c>
      <c r="B24" t="s">
        <v>143</v>
      </c>
      <c r="C24" t="s">
        <v>379</v>
      </c>
      <c r="D24">
        <v>0</v>
      </c>
      <c r="E24">
        <v>0</v>
      </c>
      <c r="F24" t="s">
        <v>377</v>
      </c>
      <c r="G24" t="s">
        <v>444</v>
      </c>
      <c r="H24" t="s">
        <v>389</v>
      </c>
      <c r="I24" t="s">
        <v>449</v>
      </c>
    </row>
    <row r="25" spans="1:9" x14ac:dyDescent="0.25">
      <c r="A25" t="s">
        <v>380</v>
      </c>
      <c r="B25" t="s">
        <v>143</v>
      </c>
      <c r="C25" t="s">
        <v>379</v>
      </c>
      <c r="D25">
        <v>0</v>
      </c>
      <c r="E25">
        <v>0</v>
      </c>
      <c r="F25" t="s">
        <v>378</v>
      </c>
      <c r="G25" t="s">
        <v>444</v>
      </c>
      <c r="H25" t="s">
        <v>390</v>
      </c>
      <c r="I25" t="s">
        <v>450</v>
      </c>
    </row>
    <row r="26" spans="1:9" x14ac:dyDescent="0.25">
      <c r="A26" t="s">
        <v>381</v>
      </c>
      <c r="B26" t="s">
        <v>143</v>
      </c>
      <c r="C26" t="s">
        <v>376</v>
      </c>
      <c r="D26">
        <v>1</v>
      </c>
      <c r="E26">
        <v>1</v>
      </c>
      <c r="F26" t="s">
        <v>140</v>
      </c>
      <c r="H26" t="s">
        <v>163</v>
      </c>
      <c r="I26" t="s">
        <v>455</v>
      </c>
    </row>
    <row r="27" spans="1:9" x14ac:dyDescent="0.25">
      <c r="A27" t="s">
        <v>381</v>
      </c>
      <c r="B27" t="s">
        <v>143</v>
      </c>
      <c r="C27" t="s">
        <v>376</v>
      </c>
      <c r="D27">
        <v>1</v>
      </c>
      <c r="E27">
        <v>1</v>
      </c>
      <c r="F27" t="s">
        <v>275</v>
      </c>
      <c r="H27" t="s">
        <v>168</v>
      </c>
      <c r="I27" t="s">
        <v>456</v>
      </c>
    </row>
    <row r="28" spans="1:9" x14ac:dyDescent="0.25">
      <c r="A28" t="s">
        <v>381</v>
      </c>
      <c r="B28" t="s">
        <v>143</v>
      </c>
      <c r="C28" t="s">
        <v>376</v>
      </c>
      <c r="D28">
        <v>1</v>
      </c>
      <c r="E28">
        <v>1</v>
      </c>
      <c r="F28" t="s">
        <v>377</v>
      </c>
      <c r="H28" t="s">
        <v>351</v>
      </c>
      <c r="I28" t="s">
        <v>457</v>
      </c>
    </row>
    <row r="29" spans="1:9" x14ac:dyDescent="0.25">
      <c r="A29" t="s">
        <v>381</v>
      </c>
      <c r="B29" t="s">
        <v>143</v>
      </c>
      <c r="C29" t="s">
        <v>376</v>
      </c>
      <c r="D29">
        <v>1</v>
      </c>
      <c r="E29">
        <v>1</v>
      </c>
      <c r="F29" t="s">
        <v>378</v>
      </c>
      <c r="H29" t="s">
        <v>352</v>
      </c>
      <c r="I29" t="s">
        <v>458</v>
      </c>
    </row>
    <row r="30" spans="1:9" x14ac:dyDescent="0.25">
      <c r="A30" t="s">
        <v>381</v>
      </c>
      <c r="B30" t="s">
        <v>143</v>
      </c>
      <c r="C30" t="s">
        <v>379</v>
      </c>
      <c r="D30">
        <v>1</v>
      </c>
      <c r="E30">
        <v>1</v>
      </c>
      <c r="F30" t="s">
        <v>140</v>
      </c>
      <c r="H30" t="s">
        <v>353</v>
      </c>
      <c r="I30" t="s">
        <v>459</v>
      </c>
    </row>
    <row r="31" spans="1:9" x14ac:dyDescent="0.25">
      <c r="A31" t="s">
        <v>381</v>
      </c>
      <c r="B31" t="s">
        <v>143</v>
      </c>
      <c r="C31" t="s">
        <v>379</v>
      </c>
      <c r="D31">
        <v>1</v>
      </c>
      <c r="E31">
        <v>1</v>
      </c>
      <c r="F31" t="s">
        <v>275</v>
      </c>
      <c r="H31" t="s">
        <v>354</v>
      </c>
      <c r="I31" t="s">
        <v>460</v>
      </c>
    </row>
    <row r="32" spans="1:9" x14ac:dyDescent="0.25">
      <c r="A32" t="s">
        <v>381</v>
      </c>
      <c r="B32" t="s">
        <v>143</v>
      </c>
      <c r="C32" t="s">
        <v>379</v>
      </c>
      <c r="D32">
        <v>1</v>
      </c>
      <c r="E32">
        <v>1</v>
      </c>
      <c r="F32" t="s">
        <v>377</v>
      </c>
      <c r="H32" t="s">
        <v>355</v>
      </c>
      <c r="I32" t="s">
        <v>461</v>
      </c>
    </row>
    <row r="33" spans="1:9" x14ac:dyDescent="0.25">
      <c r="A33" t="s">
        <v>381</v>
      </c>
      <c r="B33" t="s">
        <v>143</v>
      </c>
      <c r="C33" t="s">
        <v>379</v>
      </c>
      <c r="D33">
        <v>1</v>
      </c>
      <c r="E33">
        <v>1</v>
      </c>
      <c r="F33" t="s">
        <v>378</v>
      </c>
      <c r="H33" t="s">
        <v>356</v>
      </c>
      <c r="I33" t="s">
        <v>462</v>
      </c>
    </row>
    <row r="34" spans="1:9" x14ac:dyDescent="0.25">
      <c r="A34" t="s">
        <v>382</v>
      </c>
      <c r="B34" t="s">
        <v>143</v>
      </c>
      <c r="C34" t="s">
        <v>376</v>
      </c>
      <c r="D34">
        <v>0</v>
      </c>
      <c r="E34">
        <v>1</v>
      </c>
      <c r="F34" t="s">
        <v>140</v>
      </c>
      <c r="G34" t="s">
        <v>441</v>
      </c>
      <c r="H34" t="s">
        <v>164</v>
      </c>
      <c r="I34" t="s">
        <v>463</v>
      </c>
    </row>
    <row r="35" spans="1:9" x14ac:dyDescent="0.25">
      <c r="A35" t="s">
        <v>382</v>
      </c>
      <c r="B35" t="s">
        <v>143</v>
      </c>
      <c r="C35" t="s">
        <v>376</v>
      </c>
      <c r="D35">
        <v>0</v>
      </c>
      <c r="E35">
        <v>1</v>
      </c>
      <c r="F35" t="s">
        <v>275</v>
      </c>
      <c r="G35" t="s">
        <v>441</v>
      </c>
      <c r="H35" t="s">
        <v>169</v>
      </c>
      <c r="I35" t="s">
        <v>464</v>
      </c>
    </row>
    <row r="36" spans="1:9" x14ac:dyDescent="0.25">
      <c r="A36" t="s">
        <v>382</v>
      </c>
      <c r="B36" t="s">
        <v>143</v>
      </c>
      <c r="C36" t="s">
        <v>376</v>
      </c>
      <c r="D36">
        <v>0</v>
      </c>
      <c r="E36">
        <v>1</v>
      </c>
      <c r="F36" t="s">
        <v>140</v>
      </c>
      <c r="G36" t="s">
        <v>444</v>
      </c>
      <c r="H36" t="s">
        <v>170</v>
      </c>
      <c r="I36" t="s">
        <v>465</v>
      </c>
    </row>
    <row r="37" spans="1:9" x14ac:dyDescent="0.25">
      <c r="A37" t="s">
        <v>382</v>
      </c>
      <c r="B37" t="s">
        <v>143</v>
      </c>
      <c r="C37" t="s">
        <v>376</v>
      </c>
      <c r="D37">
        <v>0</v>
      </c>
      <c r="E37">
        <v>1</v>
      </c>
      <c r="F37" t="s">
        <v>275</v>
      </c>
      <c r="G37" t="s">
        <v>444</v>
      </c>
      <c r="H37" t="s">
        <v>171</v>
      </c>
      <c r="I37" t="s">
        <v>466</v>
      </c>
    </row>
    <row r="38" spans="1:9" x14ac:dyDescent="0.25">
      <c r="A38" t="s">
        <v>382</v>
      </c>
      <c r="B38" t="s">
        <v>143</v>
      </c>
      <c r="C38" t="s">
        <v>376</v>
      </c>
      <c r="D38">
        <v>0</v>
      </c>
      <c r="E38">
        <v>1</v>
      </c>
      <c r="F38" t="s">
        <v>377</v>
      </c>
      <c r="G38" t="s">
        <v>441</v>
      </c>
      <c r="H38" t="s">
        <v>357</v>
      </c>
      <c r="I38" t="s">
        <v>467</v>
      </c>
    </row>
    <row r="39" spans="1:9" x14ac:dyDescent="0.25">
      <c r="A39" t="s">
        <v>382</v>
      </c>
      <c r="B39" t="s">
        <v>143</v>
      </c>
      <c r="C39" t="s">
        <v>376</v>
      </c>
      <c r="D39">
        <v>0</v>
      </c>
      <c r="E39">
        <v>1</v>
      </c>
      <c r="F39" t="s">
        <v>378</v>
      </c>
      <c r="G39" t="s">
        <v>441</v>
      </c>
      <c r="H39" t="s">
        <v>358</v>
      </c>
      <c r="I39" t="s">
        <v>468</v>
      </c>
    </row>
    <row r="40" spans="1:9" x14ac:dyDescent="0.25">
      <c r="A40" t="s">
        <v>382</v>
      </c>
      <c r="B40" t="s">
        <v>143</v>
      </c>
      <c r="C40" t="s">
        <v>376</v>
      </c>
      <c r="D40">
        <v>0</v>
      </c>
      <c r="E40">
        <v>1</v>
      </c>
      <c r="F40" t="s">
        <v>377</v>
      </c>
      <c r="G40" t="s">
        <v>444</v>
      </c>
      <c r="H40" t="s">
        <v>391</v>
      </c>
      <c r="I40" t="s">
        <v>469</v>
      </c>
    </row>
    <row r="41" spans="1:9" x14ac:dyDescent="0.25">
      <c r="A41" t="s">
        <v>382</v>
      </c>
      <c r="B41" t="s">
        <v>143</v>
      </c>
      <c r="C41" t="s">
        <v>376</v>
      </c>
      <c r="D41">
        <v>0</v>
      </c>
      <c r="E41">
        <v>1</v>
      </c>
      <c r="F41" t="s">
        <v>378</v>
      </c>
      <c r="G41" t="s">
        <v>444</v>
      </c>
      <c r="H41" t="s">
        <v>392</v>
      </c>
      <c r="I41" t="s">
        <v>470</v>
      </c>
    </row>
    <row r="42" spans="1:9" x14ac:dyDescent="0.25">
      <c r="A42" t="s">
        <v>382</v>
      </c>
      <c r="B42" t="s">
        <v>143</v>
      </c>
      <c r="C42" t="s">
        <v>379</v>
      </c>
      <c r="D42">
        <v>0</v>
      </c>
      <c r="E42">
        <v>1</v>
      </c>
      <c r="F42" t="s">
        <v>140</v>
      </c>
      <c r="G42" t="s">
        <v>441</v>
      </c>
      <c r="H42" t="s">
        <v>359</v>
      </c>
      <c r="I42" t="s">
        <v>471</v>
      </c>
    </row>
    <row r="43" spans="1:9" x14ac:dyDescent="0.25">
      <c r="A43" t="s">
        <v>382</v>
      </c>
      <c r="B43" t="s">
        <v>143</v>
      </c>
      <c r="C43" t="s">
        <v>379</v>
      </c>
      <c r="D43">
        <v>0</v>
      </c>
      <c r="E43">
        <v>1</v>
      </c>
      <c r="F43" t="s">
        <v>275</v>
      </c>
      <c r="G43" t="s">
        <v>441</v>
      </c>
      <c r="H43" t="s">
        <v>360</v>
      </c>
      <c r="I43" t="s">
        <v>472</v>
      </c>
    </row>
    <row r="44" spans="1:9" x14ac:dyDescent="0.25">
      <c r="A44" t="s">
        <v>382</v>
      </c>
      <c r="B44" t="s">
        <v>143</v>
      </c>
      <c r="C44" t="s">
        <v>379</v>
      </c>
      <c r="D44">
        <v>0</v>
      </c>
      <c r="E44">
        <v>1</v>
      </c>
      <c r="F44" t="s">
        <v>140</v>
      </c>
      <c r="G44" t="s">
        <v>444</v>
      </c>
      <c r="H44" t="s">
        <v>393</v>
      </c>
      <c r="I44" t="s">
        <v>465</v>
      </c>
    </row>
    <row r="45" spans="1:9" x14ac:dyDescent="0.25">
      <c r="A45" t="s">
        <v>382</v>
      </c>
      <c r="B45" t="s">
        <v>143</v>
      </c>
      <c r="C45" t="s">
        <v>379</v>
      </c>
      <c r="D45">
        <v>0</v>
      </c>
      <c r="E45">
        <v>1</v>
      </c>
      <c r="F45" t="s">
        <v>275</v>
      </c>
      <c r="G45" t="s">
        <v>444</v>
      </c>
      <c r="H45" t="s">
        <v>394</v>
      </c>
      <c r="I45" t="s">
        <v>466</v>
      </c>
    </row>
    <row r="46" spans="1:9" x14ac:dyDescent="0.25">
      <c r="A46" t="s">
        <v>382</v>
      </c>
      <c r="B46" t="s">
        <v>143</v>
      </c>
      <c r="C46" t="s">
        <v>379</v>
      </c>
      <c r="D46">
        <v>0</v>
      </c>
      <c r="E46">
        <v>1</v>
      </c>
      <c r="F46" t="s">
        <v>377</v>
      </c>
      <c r="G46" t="s">
        <v>441</v>
      </c>
      <c r="H46" t="s">
        <v>361</v>
      </c>
      <c r="I46" t="s">
        <v>473</v>
      </c>
    </row>
    <row r="47" spans="1:9" x14ac:dyDescent="0.25">
      <c r="A47" t="s">
        <v>382</v>
      </c>
      <c r="B47" t="s">
        <v>143</v>
      </c>
      <c r="C47" t="s">
        <v>379</v>
      </c>
      <c r="D47">
        <v>0</v>
      </c>
      <c r="E47">
        <v>1</v>
      </c>
      <c r="F47" t="s">
        <v>378</v>
      </c>
      <c r="G47" t="s">
        <v>441</v>
      </c>
      <c r="H47" t="s">
        <v>362</v>
      </c>
      <c r="I47" t="s">
        <v>474</v>
      </c>
    </row>
    <row r="48" spans="1:9" x14ac:dyDescent="0.25">
      <c r="A48" t="s">
        <v>382</v>
      </c>
      <c r="B48" t="s">
        <v>143</v>
      </c>
      <c r="C48" t="s">
        <v>379</v>
      </c>
      <c r="D48">
        <v>0</v>
      </c>
      <c r="E48">
        <v>1</v>
      </c>
      <c r="F48" t="s">
        <v>377</v>
      </c>
      <c r="G48" t="s">
        <v>444</v>
      </c>
      <c r="H48" t="s">
        <v>395</v>
      </c>
      <c r="I48" t="s">
        <v>469</v>
      </c>
    </row>
    <row r="49" spans="1:9" x14ac:dyDescent="0.25">
      <c r="A49" t="s">
        <v>382</v>
      </c>
      <c r="B49" t="s">
        <v>143</v>
      </c>
      <c r="C49" t="s">
        <v>379</v>
      </c>
      <c r="D49">
        <v>0</v>
      </c>
      <c r="E49">
        <v>1</v>
      </c>
      <c r="F49" t="s">
        <v>378</v>
      </c>
      <c r="G49" t="s">
        <v>444</v>
      </c>
      <c r="H49" t="s">
        <v>396</v>
      </c>
      <c r="I49" t="s">
        <v>470</v>
      </c>
    </row>
    <row r="50" spans="1:9" x14ac:dyDescent="0.25">
      <c r="A50" t="s">
        <v>383</v>
      </c>
      <c r="B50" t="s">
        <v>143</v>
      </c>
      <c r="C50" t="s">
        <v>376</v>
      </c>
      <c r="D50">
        <v>1</v>
      </c>
      <c r="E50">
        <v>2</v>
      </c>
      <c r="F50" t="s">
        <v>140</v>
      </c>
      <c r="H50" t="s">
        <v>172</v>
      </c>
      <c r="I50" t="s">
        <v>475</v>
      </c>
    </row>
    <row r="51" spans="1:9" x14ac:dyDescent="0.25">
      <c r="A51" t="s">
        <v>383</v>
      </c>
      <c r="B51" t="s">
        <v>143</v>
      </c>
      <c r="C51" t="s">
        <v>376</v>
      </c>
      <c r="D51">
        <v>1</v>
      </c>
      <c r="E51">
        <v>2</v>
      </c>
      <c r="F51" t="s">
        <v>275</v>
      </c>
      <c r="H51" t="s">
        <v>173</v>
      </c>
      <c r="I51" t="s">
        <v>476</v>
      </c>
    </row>
    <row r="52" spans="1:9" x14ac:dyDescent="0.25">
      <c r="A52" t="s">
        <v>383</v>
      </c>
      <c r="B52" t="s">
        <v>143</v>
      </c>
      <c r="C52" t="s">
        <v>376</v>
      </c>
      <c r="D52">
        <v>1</v>
      </c>
      <c r="E52">
        <v>2</v>
      </c>
      <c r="F52" t="s">
        <v>377</v>
      </c>
      <c r="H52" t="s">
        <v>363</v>
      </c>
      <c r="I52" t="s">
        <v>477</v>
      </c>
    </row>
    <row r="53" spans="1:9" x14ac:dyDescent="0.25">
      <c r="A53" t="s">
        <v>383</v>
      </c>
      <c r="B53" t="s">
        <v>143</v>
      </c>
      <c r="C53" t="s">
        <v>376</v>
      </c>
      <c r="D53">
        <v>1</v>
      </c>
      <c r="E53">
        <v>2</v>
      </c>
      <c r="F53" t="s">
        <v>378</v>
      </c>
      <c r="H53" t="s">
        <v>364</v>
      </c>
      <c r="I53" t="s">
        <v>478</v>
      </c>
    </row>
    <row r="54" spans="1:9" x14ac:dyDescent="0.25">
      <c r="A54" t="s">
        <v>383</v>
      </c>
      <c r="B54" t="s">
        <v>143</v>
      </c>
      <c r="C54" t="s">
        <v>379</v>
      </c>
      <c r="D54">
        <v>1</v>
      </c>
      <c r="E54">
        <v>2</v>
      </c>
      <c r="F54" t="s">
        <v>140</v>
      </c>
      <c r="H54" t="s">
        <v>365</v>
      </c>
      <c r="I54" t="s">
        <v>479</v>
      </c>
    </row>
    <row r="55" spans="1:9" x14ac:dyDescent="0.25">
      <c r="A55" t="s">
        <v>383</v>
      </c>
      <c r="B55" t="s">
        <v>143</v>
      </c>
      <c r="C55" t="s">
        <v>379</v>
      </c>
      <c r="D55">
        <v>1</v>
      </c>
      <c r="E55">
        <v>2</v>
      </c>
      <c r="F55" t="s">
        <v>275</v>
      </c>
      <c r="H55" t="s">
        <v>366</v>
      </c>
      <c r="I55" t="s">
        <v>480</v>
      </c>
    </row>
    <row r="56" spans="1:9" x14ac:dyDescent="0.25">
      <c r="A56" t="s">
        <v>383</v>
      </c>
      <c r="B56" t="s">
        <v>143</v>
      </c>
      <c r="C56" t="s">
        <v>379</v>
      </c>
      <c r="D56">
        <v>1</v>
      </c>
      <c r="E56">
        <v>2</v>
      </c>
      <c r="F56" t="s">
        <v>377</v>
      </c>
      <c r="H56" t="s">
        <v>367</v>
      </c>
      <c r="I56" t="s">
        <v>481</v>
      </c>
    </row>
    <row r="57" spans="1:9" x14ac:dyDescent="0.25">
      <c r="A57" t="s">
        <v>383</v>
      </c>
      <c r="B57" t="s">
        <v>143</v>
      </c>
      <c r="C57" t="s">
        <v>379</v>
      </c>
      <c r="D57">
        <v>1</v>
      </c>
      <c r="E57">
        <v>2</v>
      </c>
      <c r="F57" t="s">
        <v>378</v>
      </c>
      <c r="H57" t="s">
        <v>368</v>
      </c>
      <c r="I57" t="s">
        <v>482</v>
      </c>
    </row>
    <row r="58" spans="1:9" x14ac:dyDescent="0.25">
      <c r="A58" t="s">
        <v>384</v>
      </c>
      <c r="B58" t="s">
        <v>143</v>
      </c>
      <c r="C58" t="s">
        <v>376</v>
      </c>
      <c r="D58">
        <v>0</v>
      </c>
      <c r="E58">
        <v>2</v>
      </c>
      <c r="F58" t="s">
        <v>140</v>
      </c>
      <c r="G58" t="s">
        <v>441</v>
      </c>
      <c r="H58" t="s">
        <v>174</v>
      </c>
      <c r="I58" t="s">
        <v>483</v>
      </c>
    </row>
    <row r="59" spans="1:9" x14ac:dyDescent="0.25">
      <c r="A59" t="s">
        <v>384</v>
      </c>
      <c r="B59" t="s">
        <v>143</v>
      </c>
      <c r="C59" t="s">
        <v>376</v>
      </c>
      <c r="D59">
        <v>0</v>
      </c>
      <c r="E59">
        <v>2</v>
      </c>
      <c r="F59" t="s">
        <v>275</v>
      </c>
      <c r="G59" t="s">
        <v>441</v>
      </c>
      <c r="H59" t="s">
        <v>175</v>
      </c>
      <c r="I59" t="s">
        <v>484</v>
      </c>
    </row>
    <row r="60" spans="1:9" x14ac:dyDescent="0.25">
      <c r="A60" t="s">
        <v>384</v>
      </c>
      <c r="B60" t="s">
        <v>143</v>
      </c>
      <c r="C60" t="s">
        <v>376</v>
      </c>
      <c r="D60">
        <v>0</v>
      </c>
      <c r="E60">
        <v>2</v>
      </c>
      <c r="F60" t="s">
        <v>140</v>
      </c>
      <c r="G60" t="s">
        <v>444</v>
      </c>
      <c r="H60" t="s">
        <v>176</v>
      </c>
      <c r="I60" t="s">
        <v>485</v>
      </c>
    </row>
    <row r="61" spans="1:9" x14ac:dyDescent="0.25">
      <c r="A61" t="s">
        <v>384</v>
      </c>
      <c r="B61" t="s">
        <v>143</v>
      </c>
      <c r="C61" t="s">
        <v>376</v>
      </c>
      <c r="D61">
        <v>0</v>
      </c>
      <c r="E61">
        <v>2</v>
      </c>
      <c r="F61" t="s">
        <v>275</v>
      </c>
      <c r="G61" t="s">
        <v>444</v>
      </c>
      <c r="H61" t="s">
        <v>177</v>
      </c>
      <c r="I61" t="s">
        <v>486</v>
      </c>
    </row>
    <row r="62" spans="1:9" x14ac:dyDescent="0.25">
      <c r="A62" t="s">
        <v>384</v>
      </c>
      <c r="B62" t="s">
        <v>143</v>
      </c>
      <c r="C62" t="s">
        <v>376</v>
      </c>
      <c r="D62">
        <v>0</v>
      </c>
      <c r="E62">
        <v>2</v>
      </c>
      <c r="F62" t="s">
        <v>377</v>
      </c>
      <c r="G62" t="s">
        <v>441</v>
      </c>
      <c r="H62" t="s">
        <v>369</v>
      </c>
      <c r="I62" t="s">
        <v>487</v>
      </c>
    </row>
    <row r="63" spans="1:9" x14ac:dyDescent="0.25">
      <c r="A63" t="s">
        <v>384</v>
      </c>
      <c r="B63" t="s">
        <v>143</v>
      </c>
      <c r="C63" t="s">
        <v>376</v>
      </c>
      <c r="D63">
        <v>0</v>
      </c>
      <c r="E63">
        <v>2</v>
      </c>
      <c r="F63" t="s">
        <v>378</v>
      </c>
      <c r="G63" t="s">
        <v>441</v>
      </c>
      <c r="H63" t="s">
        <v>370</v>
      </c>
      <c r="I63" t="s">
        <v>488</v>
      </c>
    </row>
    <row r="64" spans="1:9" x14ac:dyDescent="0.25">
      <c r="A64" t="s">
        <v>384</v>
      </c>
      <c r="B64" t="s">
        <v>143</v>
      </c>
      <c r="C64" t="s">
        <v>376</v>
      </c>
      <c r="D64">
        <v>0</v>
      </c>
      <c r="E64">
        <v>2</v>
      </c>
      <c r="F64" t="s">
        <v>377</v>
      </c>
      <c r="G64" t="s">
        <v>444</v>
      </c>
      <c r="H64" t="s">
        <v>397</v>
      </c>
      <c r="I64" t="s">
        <v>489</v>
      </c>
    </row>
    <row r="65" spans="1:9" x14ac:dyDescent="0.25">
      <c r="A65" t="s">
        <v>384</v>
      </c>
      <c r="B65" t="s">
        <v>143</v>
      </c>
      <c r="C65" t="s">
        <v>376</v>
      </c>
      <c r="D65">
        <v>0</v>
      </c>
      <c r="E65">
        <v>2</v>
      </c>
      <c r="F65" t="s">
        <v>378</v>
      </c>
      <c r="G65" t="s">
        <v>444</v>
      </c>
      <c r="H65" t="s">
        <v>398</v>
      </c>
      <c r="I65" t="s">
        <v>490</v>
      </c>
    </row>
    <row r="66" spans="1:9" x14ac:dyDescent="0.25">
      <c r="A66" t="s">
        <v>384</v>
      </c>
      <c r="B66" t="s">
        <v>143</v>
      </c>
      <c r="C66" t="s">
        <v>379</v>
      </c>
      <c r="D66">
        <v>0</v>
      </c>
      <c r="E66">
        <v>2</v>
      </c>
      <c r="F66" t="s">
        <v>140</v>
      </c>
      <c r="G66" t="s">
        <v>441</v>
      </c>
      <c r="H66" t="s">
        <v>371</v>
      </c>
      <c r="I66" t="s">
        <v>491</v>
      </c>
    </row>
    <row r="67" spans="1:9" x14ac:dyDescent="0.25">
      <c r="A67" t="s">
        <v>384</v>
      </c>
      <c r="B67" t="s">
        <v>143</v>
      </c>
      <c r="C67" t="s">
        <v>379</v>
      </c>
      <c r="D67">
        <v>0</v>
      </c>
      <c r="E67">
        <v>2</v>
      </c>
      <c r="F67" t="s">
        <v>275</v>
      </c>
      <c r="G67" t="s">
        <v>441</v>
      </c>
      <c r="H67" t="s">
        <v>372</v>
      </c>
      <c r="I67" t="s">
        <v>492</v>
      </c>
    </row>
    <row r="68" spans="1:9" x14ac:dyDescent="0.25">
      <c r="A68" t="s">
        <v>384</v>
      </c>
      <c r="B68" t="s">
        <v>143</v>
      </c>
      <c r="C68" t="s">
        <v>379</v>
      </c>
      <c r="D68">
        <v>0</v>
      </c>
      <c r="E68">
        <v>2</v>
      </c>
      <c r="F68" t="s">
        <v>140</v>
      </c>
      <c r="G68" t="s">
        <v>444</v>
      </c>
      <c r="H68" t="s">
        <v>399</v>
      </c>
      <c r="I68" t="s">
        <v>485</v>
      </c>
    </row>
    <row r="69" spans="1:9" x14ac:dyDescent="0.25">
      <c r="A69" t="s">
        <v>384</v>
      </c>
      <c r="B69" t="s">
        <v>143</v>
      </c>
      <c r="C69" t="s">
        <v>379</v>
      </c>
      <c r="D69">
        <v>0</v>
      </c>
      <c r="E69">
        <v>2</v>
      </c>
      <c r="F69" t="s">
        <v>275</v>
      </c>
      <c r="G69" t="s">
        <v>444</v>
      </c>
      <c r="H69" t="s">
        <v>400</v>
      </c>
      <c r="I69" t="s">
        <v>486</v>
      </c>
    </row>
    <row r="70" spans="1:9" x14ac:dyDescent="0.25">
      <c r="A70" t="s">
        <v>384</v>
      </c>
      <c r="B70" t="s">
        <v>143</v>
      </c>
      <c r="C70" t="s">
        <v>379</v>
      </c>
      <c r="D70">
        <v>0</v>
      </c>
      <c r="E70">
        <v>2</v>
      </c>
      <c r="F70" t="s">
        <v>377</v>
      </c>
      <c r="G70" t="s">
        <v>441</v>
      </c>
      <c r="H70" t="s">
        <v>373</v>
      </c>
      <c r="I70" t="s">
        <v>493</v>
      </c>
    </row>
    <row r="71" spans="1:9" x14ac:dyDescent="0.25">
      <c r="A71" t="s">
        <v>384</v>
      </c>
      <c r="B71" t="s">
        <v>143</v>
      </c>
      <c r="C71" t="s">
        <v>379</v>
      </c>
      <c r="D71">
        <v>0</v>
      </c>
      <c r="E71">
        <v>2</v>
      </c>
      <c r="F71" t="s">
        <v>378</v>
      </c>
      <c r="G71" t="s">
        <v>441</v>
      </c>
      <c r="H71" t="s">
        <v>374</v>
      </c>
      <c r="I71" t="s">
        <v>494</v>
      </c>
    </row>
    <row r="72" spans="1:9" x14ac:dyDescent="0.25">
      <c r="A72" t="s">
        <v>384</v>
      </c>
      <c r="B72" t="s">
        <v>143</v>
      </c>
      <c r="C72" t="s">
        <v>379</v>
      </c>
      <c r="D72">
        <v>0</v>
      </c>
      <c r="E72">
        <v>2</v>
      </c>
      <c r="F72" t="s">
        <v>377</v>
      </c>
      <c r="G72" t="s">
        <v>444</v>
      </c>
      <c r="H72" t="s">
        <v>401</v>
      </c>
      <c r="I72" t="s">
        <v>489</v>
      </c>
    </row>
    <row r="73" spans="1:9" x14ac:dyDescent="0.25">
      <c r="A73" t="s">
        <v>384</v>
      </c>
      <c r="B73" t="s">
        <v>143</v>
      </c>
      <c r="C73" t="s">
        <v>379</v>
      </c>
      <c r="D73">
        <v>0</v>
      </c>
      <c r="E73">
        <v>2</v>
      </c>
      <c r="F73" t="s">
        <v>378</v>
      </c>
      <c r="G73" t="s">
        <v>444</v>
      </c>
      <c r="H73" t="s">
        <v>402</v>
      </c>
      <c r="I73" t="s">
        <v>490</v>
      </c>
    </row>
    <row r="74" spans="1:9" x14ac:dyDescent="0.25">
      <c r="A74" t="s">
        <v>375</v>
      </c>
      <c r="B74" t="s">
        <v>142</v>
      </c>
      <c r="C74" t="s">
        <v>376</v>
      </c>
      <c r="D74">
        <v>1</v>
      </c>
      <c r="E74">
        <v>0</v>
      </c>
      <c r="F74" t="s">
        <v>140</v>
      </c>
      <c r="H74" t="s">
        <v>160</v>
      </c>
      <c r="I74" t="s">
        <v>427</v>
      </c>
    </row>
    <row r="75" spans="1:9" x14ac:dyDescent="0.25">
      <c r="A75" t="s">
        <v>375</v>
      </c>
      <c r="B75" t="s">
        <v>142</v>
      </c>
      <c r="C75" t="s">
        <v>376</v>
      </c>
      <c r="D75">
        <v>1</v>
      </c>
      <c r="E75">
        <v>0</v>
      </c>
      <c r="F75" t="s">
        <v>275</v>
      </c>
      <c r="H75" t="s">
        <v>161</v>
      </c>
      <c r="I75" t="s">
        <v>500</v>
      </c>
    </row>
    <row r="76" spans="1:9" x14ac:dyDescent="0.25">
      <c r="A76" t="s">
        <v>375</v>
      </c>
      <c r="B76" t="s">
        <v>142</v>
      </c>
      <c r="C76" t="s">
        <v>376</v>
      </c>
      <c r="D76">
        <v>1</v>
      </c>
      <c r="E76">
        <v>0</v>
      </c>
      <c r="F76" t="s">
        <v>377</v>
      </c>
      <c r="H76" t="s">
        <v>339</v>
      </c>
      <c r="I76" t="s">
        <v>501</v>
      </c>
    </row>
    <row r="77" spans="1:9" x14ac:dyDescent="0.25">
      <c r="A77" t="s">
        <v>375</v>
      </c>
      <c r="B77" t="s">
        <v>142</v>
      </c>
      <c r="C77" t="s">
        <v>376</v>
      </c>
      <c r="D77">
        <v>1</v>
      </c>
      <c r="E77">
        <v>0</v>
      </c>
      <c r="F77" t="s">
        <v>378</v>
      </c>
      <c r="H77" t="s">
        <v>340</v>
      </c>
      <c r="I77" t="s">
        <v>502</v>
      </c>
    </row>
    <row r="78" spans="1:9" x14ac:dyDescent="0.25">
      <c r="A78" t="s">
        <v>375</v>
      </c>
      <c r="B78" t="s">
        <v>142</v>
      </c>
      <c r="C78" t="s">
        <v>379</v>
      </c>
      <c r="D78">
        <v>1</v>
      </c>
      <c r="E78">
        <v>0</v>
      </c>
      <c r="F78" t="s">
        <v>140</v>
      </c>
      <c r="H78" t="s">
        <v>341</v>
      </c>
      <c r="I78" t="s">
        <v>503</v>
      </c>
    </row>
    <row r="79" spans="1:9" x14ac:dyDescent="0.25">
      <c r="A79" t="s">
        <v>375</v>
      </c>
      <c r="B79" t="s">
        <v>142</v>
      </c>
      <c r="C79" t="s">
        <v>379</v>
      </c>
      <c r="D79">
        <v>1</v>
      </c>
      <c r="E79">
        <v>0</v>
      </c>
      <c r="F79" t="s">
        <v>275</v>
      </c>
      <c r="H79" t="s">
        <v>342</v>
      </c>
      <c r="I79" t="s">
        <v>504</v>
      </c>
    </row>
    <row r="80" spans="1:9" x14ac:dyDescent="0.25">
      <c r="A80" t="s">
        <v>375</v>
      </c>
      <c r="B80" t="s">
        <v>142</v>
      </c>
      <c r="C80" t="s">
        <v>379</v>
      </c>
      <c r="D80">
        <v>1</v>
      </c>
      <c r="E80">
        <v>0</v>
      </c>
      <c r="F80" t="s">
        <v>377</v>
      </c>
      <c r="H80" t="s">
        <v>343</v>
      </c>
      <c r="I80" t="s">
        <v>505</v>
      </c>
    </row>
    <row r="81" spans="1:9" x14ac:dyDescent="0.25">
      <c r="A81" t="s">
        <v>375</v>
      </c>
      <c r="B81" t="s">
        <v>142</v>
      </c>
      <c r="C81" t="s">
        <v>379</v>
      </c>
      <c r="D81">
        <v>1</v>
      </c>
      <c r="E81">
        <v>0</v>
      </c>
      <c r="F81" t="s">
        <v>378</v>
      </c>
      <c r="H81" t="s">
        <v>344</v>
      </c>
      <c r="I81" t="s">
        <v>506</v>
      </c>
    </row>
    <row r="82" spans="1:9" x14ac:dyDescent="0.25">
      <c r="A82" t="s">
        <v>380</v>
      </c>
      <c r="B82" t="s">
        <v>142</v>
      </c>
      <c r="C82" t="s">
        <v>376</v>
      </c>
      <c r="D82">
        <v>0</v>
      </c>
      <c r="E82">
        <v>0</v>
      </c>
      <c r="F82" t="s">
        <v>140</v>
      </c>
      <c r="G82" t="s">
        <v>441</v>
      </c>
      <c r="H82" t="s">
        <v>162</v>
      </c>
      <c r="I82" t="s">
        <v>497</v>
      </c>
    </row>
    <row r="83" spans="1:9" x14ac:dyDescent="0.25">
      <c r="A83" t="s">
        <v>380</v>
      </c>
      <c r="B83" t="s">
        <v>142</v>
      </c>
      <c r="C83" t="s">
        <v>376</v>
      </c>
      <c r="D83">
        <v>0</v>
      </c>
      <c r="E83">
        <v>0</v>
      </c>
      <c r="F83" t="s">
        <v>275</v>
      </c>
      <c r="G83" t="s">
        <v>441</v>
      </c>
      <c r="H83" t="s">
        <v>165</v>
      </c>
      <c r="I83" t="s">
        <v>507</v>
      </c>
    </row>
    <row r="84" spans="1:9" x14ac:dyDescent="0.25">
      <c r="A84" t="s">
        <v>380</v>
      </c>
      <c r="B84" t="s">
        <v>142</v>
      </c>
      <c r="C84" t="s">
        <v>376</v>
      </c>
      <c r="D84">
        <v>0</v>
      </c>
      <c r="E84">
        <v>0</v>
      </c>
      <c r="F84" t="s">
        <v>140</v>
      </c>
      <c r="G84" t="s">
        <v>444</v>
      </c>
      <c r="H84" t="s">
        <v>166</v>
      </c>
      <c r="I84" t="s">
        <v>508</v>
      </c>
    </row>
    <row r="85" spans="1:9" x14ac:dyDescent="0.25">
      <c r="A85" t="s">
        <v>380</v>
      </c>
      <c r="B85" t="s">
        <v>142</v>
      </c>
      <c r="C85" t="s">
        <v>376</v>
      </c>
      <c r="D85">
        <v>0</v>
      </c>
      <c r="E85">
        <v>0</v>
      </c>
      <c r="F85" t="s">
        <v>275</v>
      </c>
      <c r="G85" t="s">
        <v>444</v>
      </c>
      <c r="H85" t="s">
        <v>167</v>
      </c>
      <c r="I85" t="s">
        <v>509</v>
      </c>
    </row>
    <row r="86" spans="1:9" x14ac:dyDescent="0.25">
      <c r="A86" t="s">
        <v>380</v>
      </c>
      <c r="B86" t="s">
        <v>142</v>
      </c>
      <c r="C86" t="s">
        <v>376</v>
      </c>
      <c r="D86">
        <v>0</v>
      </c>
      <c r="E86">
        <v>0</v>
      </c>
      <c r="F86" t="s">
        <v>377</v>
      </c>
      <c r="G86" t="s">
        <v>441</v>
      </c>
      <c r="H86" t="s">
        <v>345</v>
      </c>
      <c r="I86" t="s">
        <v>510</v>
      </c>
    </row>
    <row r="87" spans="1:9" x14ac:dyDescent="0.25">
      <c r="A87" t="s">
        <v>380</v>
      </c>
      <c r="B87" t="s">
        <v>142</v>
      </c>
      <c r="C87" t="s">
        <v>376</v>
      </c>
      <c r="D87">
        <v>0</v>
      </c>
      <c r="E87">
        <v>0</v>
      </c>
      <c r="F87" t="s">
        <v>378</v>
      </c>
      <c r="G87" t="s">
        <v>441</v>
      </c>
      <c r="H87" t="s">
        <v>346</v>
      </c>
      <c r="I87" t="s">
        <v>511</v>
      </c>
    </row>
    <row r="88" spans="1:9" x14ac:dyDescent="0.25">
      <c r="A88" t="s">
        <v>380</v>
      </c>
      <c r="B88" t="s">
        <v>142</v>
      </c>
      <c r="C88" t="s">
        <v>376</v>
      </c>
      <c r="D88">
        <v>0</v>
      </c>
      <c r="E88">
        <v>0</v>
      </c>
      <c r="F88" t="s">
        <v>377</v>
      </c>
      <c r="G88" t="s">
        <v>444</v>
      </c>
      <c r="H88" t="s">
        <v>385</v>
      </c>
      <c r="I88" t="s">
        <v>512</v>
      </c>
    </row>
    <row r="89" spans="1:9" x14ac:dyDescent="0.25">
      <c r="A89" t="s">
        <v>380</v>
      </c>
      <c r="B89" t="s">
        <v>142</v>
      </c>
      <c r="C89" t="s">
        <v>376</v>
      </c>
      <c r="D89">
        <v>0</v>
      </c>
      <c r="E89">
        <v>0</v>
      </c>
      <c r="F89" t="s">
        <v>378</v>
      </c>
      <c r="G89" t="s">
        <v>444</v>
      </c>
      <c r="H89" t="s">
        <v>386</v>
      </c>
      <c r="I89" t="s">
        <v>513</v>
      </c>
    </row>
    <row r="90" spans="1:9" x14ac:dyDescent="0.25">
      <c r="A90" t="s">
        <v>380</v>
      </c>
      <c r="B90" t="s">
        <v>142</v>
      </c>
      <c r="C90" t="s">
        <v>379</v>
      </c>
      <c r="D90">
        <v>0</v>
      </c>
      <c r="E90">
        <v>0</v>
      </c>
      <c r="F90" t="s">
        <v>140</v>
      </c>
      <c r="G90" t="s">
        <v>441</v>
      </c>
      <c r="H90" t="s">
        <v>347</v>
      </c>
      <c r="I90" t="s">
        <v>514</v>
      </c>
    </row>
    <row r="91" spans="1:9" x14ac:dyDescent="0.25">
      <c r="A91" t="s">
        <v>380</v>
      </c>
      <c r="B91" t="s">
        <v>142</v>
      </c>
      <c r="C91" t="s">
        <v>379</v>
      </c>
      <c r="D91">
        <v>0</v>
      </c>
      <c r="E91">
        <v>0</v>
      </c>
      <c r="F91" t="s">
        <v>275</v>
      </c>
      <c r="G91" t="s">
        <v>441</v>
      </c>
      <c r="H91" t="s">
        <v>348</v>
      </c>
      <c r="I91" t="s">
        <v>515</v>
      </c>
    </row>
    <row r="92" spans="1:9" x14ac:dyDescent="0.25">
      <c r="A92" t="s">
        <v>380</v>
      </c>
      <c r="B92" t="s">
        <v>142</v>
      </c>
      <c r="C92" t="s">
        <v>379</v>
      </c>
      <c r="D92">
        <v>0</v>
      </c>
      <c r="E92">
        <v>0</v>
      </c>
      <c r="F92" t="s">
        <v>140</v>
      </c>
      <c r="G92" t="s">
        <v>444</v>
      </c>
      <c r="H92" t="s">
        <v>387</v>
      </c>
      <c r="I92" t="s">
        <v>508</v>
      </c>
    </row>
    <row r="93" spans="1:9" x14ac:dyDescent="0.25">
      <c r="A93" t="s">
        <v>380</v>
      </c>
      <c r="B93" t="s">
        <v>142</v>
      </c>
      <c r="C93" t="s">
        <v>379</v>
      </c>
      <c r="D93">
        <v>0</v>
      </c>
      <c r="E93">
        <v>0</v>
      </c>
      <c r="F93" t="s">
        <v>275</v>
      </c>
      <c r="G93" t="s">
        <v>444</v>
      </c>
      <c r="H93" t="s">
        <v>388</v>
      </c>
      <c r="I93" t="s">
        <v>509</v>
      </c>
    </row>
    <row r="94" spans="1:9" x14ac:dyDescent="0.25">
      <c r="A94" t="s">
        <v>380</v>
      </c>
      <c r="B94" t="s">
        <v>142</v>
      </c>
      <c r="C94" t="s">
        <v>379</v>
      </c>
      <c r="D94">
        <v>0</v>
      </c>
      <c r="E94">
        <v>0</v>
      </c>
      <c r="F94" t="s">
        <v>377</v>
      </c>
      <c r="G94" t="s">
        <v>441</v>
      </c>
      <c r="H94" t="s">
        <v>349</v>
      </c>
      <c r="I94" t="s">
        <v>516</v>
      </c>
    </row>
    <row r="95" spans="1:9" x14ac:dyDescent="0.25">
      <c r="A95" t="s">
        <v>380</v>
      </c>
      <c r="B95" t="s">
        <v>142</v>
      </c>
      <c r="C95" t="s">
        <v>379</v>
      </c>
      <c r="D95">
        <v>0</v>
      </c>
      <c r="E95">
        <v>0</v>
      </c>
      <c r="F95" t="s">
        <v>378</v>
      </c>
      <c r="G95" t="s">
        <v>441</v>
      </c>
      <c r="H95" t="s">
        <v>350</v>
      </c>
      <c r="I95" t="s">
        <v>517</v>
      </c>
    </row>
    <row r="96" spans="1:9" x14ac:dyDescent="0.25">
      <c r="A96" t="s">
        <v>380</v>
      </c>
      <c r="B96" t="s">
        <v>142</v>
      </c>
      <c r="C96" t="s">
        <v>379</v>
      </c>
      <c r="D96">
        <v>0</v>
      </c>
      <c r="E96">
        <v>0</v>
      </c>
      <c r="F96" t="s">
        <v>377</v>
      </c>
      <c r="G96" t="s">
        <v>444</v>
      </c>
      <c r="H96" t="s">
        <v>389</v>
      </c>
      <c r="I96" t="s">
        <v>512</v>
      </c>
    </row>
    <row r="97" spans="1:9" x14ac:dyDescent="0.25">
      <c r="A97" t="s">
        <v>380</v>
      </c>
      <c r="B97" t="s">
        <v>142</v>
      </c>
      <c r="C97" t="s">
        <v>379</v>
      </c>
      <c r="D97">
        <v>0</v>
      </c>
      <c r="E97">
        <v>0</v>
      </c>
      <c r="F97" t="s">
        <v>378</v>
      </c>
      <c r="G97" t="s">
        <v>444</v>
      </c>
      <c r="H97" t="s">
        <v>390</v>
      </c>
      <c r="I97" t="s">
        <v>513</v>
      </c>
    </row>
    <row r="98" spans="1:9" x14ac:dyDescent="0.25">
      <c r="A98" t="s">
        <v>381</v>
      </c>
      <c r="B98" t="s">
        <v>142</v>
      </c>
      <c r="C98" t="s">
        <v>376</v>
      </c>
      <c r="D98">
        <v>1</v>
      </c>
      <c r="E98">
        <v>1</v>
      </c>
      <c r="F98" t="s">
        <v>140</v>
      </c>
      <c r="H98" t="s">
        <v>163</v>
      </c>
      <c r="I98" t="s">
        <v>496</v>
      </c>
    </row>
    <row r="99" spans="1:9" x14ac:dyDescent="0.25">
      <c r="A99" t="s">
        <v>381</v>
      </c>
      <c r="B99" t="s">
        <v>142</v>
      </c>
      <c r="C99" t="s">
        <v>376</v>
      </c>
      <c r="D99">
        <v>1</v>
      </c>
      <c r="E99">
        <v>1</v>
      </c>
      <c r="F99" t="s">
        <v>275</v>
      </c>
      <c r="H99" t="s">
        <v>168</v>
      </c>
      <c r="I99" t="s">
        <v>518</v>
      </c>
    </row>
    <row r="100" spans="1:9" x14ac:dyDescent="0.25">
      <c r="A100" t="s">
        <v>381</v>
      </c>
      <c r="B100" t="s">
        <v>142</v>
      </c>
      <c r="C100" t="s">
        <v>376</v>
      </c>
      <c r="D100">
        <v>1</v>
      </c>
      <c r="E100">
        <v>1</v>
      </c>
      <c r="F100" t="s">
        <v>377</v>
      </c>
      <c r="H100" t="s">
        <v>351</v>
      </c>
      <c r="I100" t="s">
        <v>519</v>
      </c>
    </row>
    <row r="101" spans="1:9" x14ac:dyDescent="0.25">
      <c r="A101" t="s">
        <v>381</v>
      </c>
      <c r="B101" t="s">
        <v>142</v>
      </c>
      <c r="C101" t="s">
        <v>376</v>
      </c>
      <c r="D101">
        <v>1</v>
      </c>
      <c r="E101">
        <v>1</v>
      </c>
      <c r="F101" t="s">
        <v>378</v>
      </c>
      <c r="H101" t="s">
        <v>352</v>
      </c>
      <c r="I101" t="s">
        <v>520</v>
      </c>
    </row>
    <row r="102" spans="1:9" x14ac:dyDescent="0.25">
      <c r="A102" t="s">
        <v>381</v>
      </c>
      <c r="B102" t="s">
        <v>142</v>
      </c>
      <c r="C102" t="s">
        <v>379</v>
      </c>
      <c r="D102">
        <v>1</v>
      </c>
      <c r="E102">
        <v>1</v>
      </c>
      <c r="F102" t="s">
        <v>140</v>
      </c>
      <c r="H102" t="s">
        <v>353</v>
      </c>
      <c r="I102" t="s">
        <v>521</v>
      </c>
    </row>
    <row r="103" spans="1:9" x14ac:dyDescent="0.25">
      <c r="A103" t="s">
        <v>381</v>
      </c>
      <c r="B103" t="s">
        <v>142</v>
      </c>
      <c r="C103" t="s">
        <v>379</v>
      </c>
      <c r="D103">
        <v>1</v>
      </c>
      <c r="E103">
        <v>1</v>
      </c>
      <c r="F103" t="s">
        <v>275</v>
      </c>
      <c r="H103" t="s">
        <v>354</v>
      </c>
      <c r="I103" t="s">
        <v>522</v>
      </c>
    </row>
    <row r="104" spans="1:9" x14ac:dyDescent="0.25">
      <c r="A104" t="s">
        <v>381</v>
      </c>
      <c r="B104" t="s">
        <v>142</v>
      </c>
      <c r="C104" t="s">
        <v>379</v>
      </c>
      <c r="D104">
        <v>1</v>
      </c>
      <c r="E104">
        <v>1</v>
      </c>
      <c r="F104" t="s">
        <v>377</v>
      </c>
      <c r="H104" t="s">
        <v>355</v>
      </c>
      <c r="I104" t="s">
        <v>523</v>
      </c>
    </row>
    <row r="105" spans="1:9" x14ac:dyDescent="0.25">
      <c r="A105" t="s">
        <v>381</v>
      </c>
      <c r="B105" t="s">
        <v>142</v>
      </c>
      <c r="C105" t="s">
        <v>379</v>
      </c>
      <c r="D105">
        <v>1</v>
      </c>
      <c r="E105">
        <v>1</v>
      </c>
      <c r="F105" t="s">
        <v>378</v>
      </c>
      <c r="H105" t="s">
        <v>356</v>
      </c>
      <c r="I105" t="s">
        <v>524</v>
      </c>
    </row>
    <row r="106" spans="1:9" x14ac:dyDescent="0.25">
      <c r="A106" t="s">
        <v>382</v>
      </c>
      <c r="B106" t="s">
        <v>142</v>
      </c>
      <c r="C106" t="s">
        <v>376</v>
      </c>
      <c r="D106">
        <v>0</v>
      </c>
      <c r="E106">
        <v>1</v>
      </c>
      <c r="F106" t="s">
        <v>140</v>
      </c>
      <c r="G106" t="s">
        <v>441</v>
      </c>
      <c r="H106" t="s">
        <v>164</v>
      </c>
      <c r="I106" t="s">
        <v>495</v>
      </c>
    </row>
    <row r="107" spans="1:9" x14ac:dyDescent="0.25">
      <c r="A107" t="s">
        <v>382</v>
      </c>
      <c r="B107" t="s">
        <v>142</v>
      </c>
      <c r="C107" t="s">
        <v>376</v>
      </c>
      <c r="D107">
        <v>0</v>
      </c>
      <c r="E107">
        <v>1</v>
      </c>
      <c r="F107" t="s">
        <v>275</v>
      </c>
      <c r="G107" t="s">
        <v>441</v>
      </c>
      <c r="H107" t="s">
        <v>169</v>
      </c>
      <c r="I107" t="s">
        <v>525</v>
      </c>
    </row>
    <row r="108" spans="1:9" x14ac:dyDescent="0.25">
      <c r="A108" t="s">
        <v>382</v>
      </c>
      <c r="B108" t="s">
        <v>142</v>
      </c>
      <c r="C108" t="s">
        <v>376</v>
      </c>
      <c r="D108">
        <v>0</v>
      </c>
      <c r="E108">
        <v>1</v>
      </c>
      <c r="F108" t="s">
        <v>140</v>
      </c>
      <c r="G108" t="s">
        <v>444</v>
      </c>
      <c r="H108" t="s">
        <v>170</v>
      </c>
      <c r="I108" t="s">
        <v>526</v>
      </c>
    </row>
    <row r="109" spans="1:9" x14ac:dyDescent="0.25">
      <c r="A109" t="s">
        <v>382</v>
      </c>
      <c r="B109" t="s">
        <v>142</v>
      </c>
      <c r="C109" t="s">
        <v>376</v>
      </c>
      <c r="D109">
        <v>0</v>
      </c>
      <c r="E109">
        <v>1</v>
      </c>
      <c r="F109" t="s">
        <v>275</v>
      </c>
      <c r="G109" t="s">
        <v>444</v>
      </c>
      <c r="H109" t="s">
        <v>171</v>
      </c>
      <c r="I109" t="s">
        <v>527</v>
      </c>
    </row>
    <row r="110" spans="1:9" x14ac:dyDescent="0.25">
      <c r="A110" t="s">
        <v>382</v>
      </c>
      <c r="B110" t="s">
        <v>142</v>
      </c>
      <c r="C110" t="s">
        <v>376</v>
      </c>
      <c r="D110">
        <v>0</v>
      </c>
      <c r="E110">
        <v>1</v>
      </c>
      <c r="F110" t="s">
        <v>377</v>
      </c>
      <c r="G110" t="s">
        <v>441</v>
      </c>
      <c r="H110" t="s">
        <v>357</v>
      </c>
      <c r="I110" t="s">
        <v>528</v>
      </c>
    </row>
    <row r="111" spans="1:9" x14ac:dyDescent="0.25">
      <c r="A111" t="s">
        <v>382</v>
      </c>
      <c r="B111" t="s">
        <v>142</v>
      </c>
      <c r="C111" t="s">
        <v>376</v>
      </c>
      <c r="D111">
        <v>0</v>
      </c>
      <c r="E111">
        <v>1</v>
      </c>
      <c r="F111" t="s">
        <v>378</v>
      </c>
      <c r="G111" t="s">
        <v>441</v>
      </c>
      <c r="H111" t="s">
        <v>358</v>
      </c>
      <c r="I111" t="s">
        <v>529</v>
      </c>
    </row>
    <row r="112" spans="1:9" x14ac:dyDescent="0.25">
      <c r="A112" t="s">
        <v>382</v>
      </c>
      <c r="B112" t="s">
        <v>142</v>
      </c>
      <c r="C112" t="s">
        <v>376</v>
      </c>
      <c r="D112">
        <v>0</v>
      </c>
      <c r="E112">
        <v>1</v>
      </c>
      <c r="F112" t="s">
        <v>377</v>
      </c>
      <c r="G112" t="s">
        <v>444</v>
      </c>
      <c r="H112" t="s">
        <v>391</v>
      </c>
      <c r="I112" t="s">
        <v>530</v>
      </c>
    </row>
    <row r="113" spans="1:9" x14ac:dyDescent="0.25">
      <c r="A113" t="s">
        <v>382</v>
      </c>
      <c r="B113" t="s">
        <v>142</v>
      </c>
      <c r="C113" t="s">
        <v>376</v>
      </c>
      <c r="D113">
        <v>0</v>
      </c>
      <c r="E113">
        <v>1</v>
      </c>
      <c r="F113" t="s">
        <v>378</v>
      </c>
      <c r="G113" t="s">
        <v>444</v>
      </c>
      <c r="H113" t="s">
        <v>392</v>
      </c>
      <c r="I113" t="s">
        <v>531</v>
      </c>
    </row>
    <row r="114" spans="1:9" x14ac:dyDescent="0.25">
      <c r="A114" t="s">
        <v>382</v>
      </c>
      <c r="B114" t="s">
        <v>142</v>
      </c>
      <c r="C114" t="s">
        <v>379</v>
      </c>
      <c r="D114">
        <v>0</v>
      </c>
      <c r="E114">
        <v>1</v>
      </c>
      <c r="F114" t="s">
        <v>140</v>
      </c>
      <c r="G114" t="s">
        <v>441</v>
      </c>
      <c r="H114" t="s">
        <v>359</v>
      </c>
      <c r="I114" t="s">
        <v>532</v>
      </c>
    </row>
    <row r="115" spans="1:9" x14ac:dyDescent="0.25">
      <c r="A115" t="s">
        <v>382</v>
      </c>
      <c r="B115" t="s">
        <v>142</v>
      </c>
      <c r="C115" t="s">
        <v>379</v>
      </c>
      <c r="D115">
        <v>0</v>
      </c>
      <c r="E115">
        <v>1</v>
      </c>
      <c r="F115" t="s">
        <v>275</v>
      </c>
      <c r="G115" t="s">
        <v>441</v>
      </c>
      <c r="H115" t="s">
        <v>360</v>
      </c>
      <c r="I115" t="s">
        <v>533</v>
      </c>
    </row>
    <row r="116" spans="1:9" x14ac:dyDescent="0.25">
      <c r="A116" t="s">
        <v>382</v>
      </c>
      <c r="B116" t="s">
        <v>142</v>
      </c>
      <c r="C116" t="s">
        <v>379</v>
      </c>
      <c r="D116">
        <v>0</v>
      </c>
      <c r="E116">
        <v>1</v>
      </c>
      <c r="F116" t="s">
        <v>140</v>
      </c>
      <c r="G116" t="s">
        <v>444</v>
      </c>
      <c r="H116" t="s">
        <v>393</v>
      </c>
      <c r="I116" t="s">
        <v>526</v>
      </c>
    </row>
    <row r="117" spans="1:9" x14ac:dyDescent="0.25">
      <c r="A117" t="s">
        <v>382</v>
      </c>
      <c r="B117" t="s">
        <v>142</v>
      </c>
      <c r="C117" t="s">
        <v>379</v>
      </c>
      <c r="D117">
        <v>0</v>
      </c>
      <c r="E117">
        <v>1</v>
      </c>
      <c r="F117" t="s">
        <v>275</v>
      </c>
      <c r="G117" t="s">
        <v>444</v>
      </c>
      <c r="H117" t="s">
        <v>394</v>
      </c>
      <c r="I117" t="s">
        <v>527</v>
      </c>
    </row>
    <row r="118" spans="1:9" x14ac:dyDescent="0.25">
      <c r="A118" t="s">
        <v>382</v>
      </c>
      <c r="B118" t="s">
        <v>142</v>
      </c>
      <c r="C118" t="s">
        <v>379</v>
      </c>
      <c r="D118">
        <v>0</v>
      </c>
      <c r="E118">
        <v>1</v>
      </c>
      <c r="F118" t="s">
        <v>377</v>
      </c>
      <c r="G118" t="s">
        <v>441</v>
      </c>
      <c r="H118" t="s">
        <v>361</v>
      </c>
      <c r="I118" t="s">
        <v>534</v>
      </c>
    </row>
    <row r="119" spans="1:9" x14ac:dyDescent="0.25">
      <c r="A119" t="s">
        <v>382</v>
      </c>
      <c r="B119" t="s">
        <v>142</v>
      </c>
      <c r="C119" t="s">
        <v>379</v>
      </c>
      <c r="D119">
        <v>0</v>
      </c>
      <c r="E119">
        <v>1</v>
      </c>
      <c r="F119" t="s">
        <v>378</v>
      </c>
      <c r="G119" t="s">
        <v>441</v>
      </c>
      <c r="H119" t="s">
        <v>362</v>
      </c>
      <c r="I119" t="s">
        <v>535</v>
      </c>
    </row>
    <row r="120" spans="1:9" x14ac:dyDescent="0.25">
      <c r="A120" t="s">
        <v>382</v>
      </c>
      <c r="B120" t="s">
        <v>142</v>
      </c>
      <c r="C120" t="s">
        <v>379</v>
      </c>
      <c r="D120">
        <v>0</v>
      </c>
      <c r="E120">
        <v>1</v>
      </c>
      <c r="F120" t="s">
        <v>377</v>
      </c>
      <c r="G120" t="s">
        <v>444</v>
      </c>
      <c r="H120" t="s">
        <v>395</v>
      </c>
      <c r="I120" t="s">
        <v>530</v>
      </c>
    </row>
    <row r="121" spans="1:9" x14ac:dyDescent="0.25">
      <c r="A121" t="s">
        <v>382</v>
      </c>
      <c r="B121" t="s">
        <v>142</v>
      </c>
      <c r="C121" t="s">
        <v>379</v>
      </c>
      <c r="D121">
        <v>0</v>
      </c>
      <c r="E121">
        <v>1</v>
      </c>
      <c r="F121" t="s">
        <v>378</v>
      </c>
      <c r="G121" t="s">
        <v>444</v>
      </c>
      <c r="H121" t="s">
        <v>396</v>
      </c>
      <c r="I121" t="s">
        <v>531</v>
      </c>
    </row>
    <row r="122" spans="1:9" x14ac:dyDescent="0.25">
      <c r="A122" t="s">
        <v>383</v>
      </c>
      <c r="B122" t="s">
        <v>142</v>
      </c>
      <c r="C122" t="s">
        <v>376</v>
      </c>
      <c r="D122">
        <v>1</v>
      </c>
      <c r="E122">
        <v>2</v>
      </c>
      <c r="F122" t="s">
        <v>140</v>
      </c>
      <c r="H122" t="s">
        <v>172</v>
      </c>
      <c r="I122" t="s">
        <v>499</v>
      </c>
    </row>
    <row r="123" spans="1:9" x14ac:dyDescent="0.25">
      <c r="A123" t="s">
        <v>383</v>
      </c>
      <c r="B123" t="s">
        <v>142</v>
      </c>
      <c r="C123" t="s">
        <v>376</v>
      </c>
      <c r="D123">
        <v>1</v>
      </c>
      <c r="E123">
        <v>2</v>
      </c>
      <c r="F123" t="s">
        <v>275</v>
      </c>
      <c r="H123" t="s">
        <v>173</v>
      </c>
      <c r="I123" t="s">
        <v>536</v>
      </c>
    </row>
    <row r="124" spans="1:9" x14ac:dyDescent="0.25">
      <c r="A124" t="s">
        <v>383</v>
      </c>
      <c r="B124" t="s">
        <v>142</v>
      </c>
      <c r="C124" t="s">
        <v>376</v>
      </c>
      <c r="D124">
        <v>1</v>
      </c>
      <c r="E124">
        <v>2</v>
      </c>
      <c r="F124" t="s">
        <v>377</v>
      </c>
      <c r="H124" t="s">
        <v>363</v>
      </c>
      <c r="I124" t="s">
        <v>537</v>
      </c>
    </row>
    <row r="125" spans="1:9" x14ac:dyDescent="0.25">
      <c r="A125" t="s">
        <v>383</v>
      </c>
      <c r="B125" t="s">
        <v>142</v>
      </c>
      <c r="C125" t="s">
        <v>376</v>
      </c>
      <c r="D125">
        <v>1</v>
      </c>
      <c r="E125">
        <v>2</v>
      </c>
      <c r="F125" t="s">
        <v>378</v>
      </c>
      <c r="H125" t="s">
        <v>364</v>
      </c>
      <c r="I125" t="s">
        <v>538</v>
      </c>
    </row>
    <row r="126" spans="1:9" x14ac:dyDescent="0.25">
      <c r="A126" t="s">
        <v>383</v>
      </c>
      <c r="B126" t="s">
        <v>142</v>
      </c>
      <c r="C126" t="s">
        <v>379</v>
      </c>
      <c r="D126">
        <v>1</v>
      </c>
      <c r="E126">
        <v>2</v>
      </c>
      <c r="F126" t="s">
        <v>140</v>
      </c>
      <c r="H126" t="s">
        <v>365</v>
      </c>
      <c r="I126" t="s">
        <v>539</v>
      </c>
    </row>
    <row r="127" spans="1:9" x14ac:dyDescent="0.25">
      <c r="A127" t="s">
        <v>383</v>
      </c>
      <c r="B127" t="s">
        <v>142</v>
      </c>
      <c r="C127" t="s">
        <v>379</v>
      </c>
      <c r="D127">
        <v>1</v>
      </c>
      <c r="E127">
        <v>2</v>
      </c>
      <c r="F127" t="s">
        <v>275</v>
      </c>
      <c r="H127" t="s">
        <v>366</v>
      </c>
      <c r="I127" t="s">
        <v>540</v>
      </c>
    </row>
    <row r="128" spans="1:9" x14ac:dyDescent="0.25">
      <c r="A128" t="s">
        <v>383</v>
      </c>
      <c r="B128" t="s">
        <v>142</v>
      </c>
      <c r="C128" t="s">
        <v>379</v>
      </c>
      <c r="D128">
        <v>1</v>
      </c>
      <c r="E128">
        <v>2</v>
      </c>
      <c r="F128" t="s">
        <v>377</v>
      </c>
      <c r="H128" t="s">
        <v>367</v>
      </c>
      <c r="I128" t="s">
        <v>541</v>
      </c>
    </row>
    <row r="129" spans="1:9" x14ac:dyDescent="0.25">
      <c r="A129" t="s">
        <v>383</v>
      </c>
      <c r="B129" t="s">
        <v>142</v>
      </c>
      <c r="C129" t="s">
        <v>379</v>
      </c>
      <c r="D129">
        <v>1</v>
      </c>
      <c r="E129">
        <v>2</v>
      </c>
      <c r="F129" t="s">
        <v>378</v>
      </c>
      <c r="H129" t="s">
        <v>368</v>
      </c>
      <c r="I129" t="s">
        <v>542</v>
      </c>
    </row>
    <row r="130" spans="1:9" x14ac:dyDescent="0.25">
      <c r="A130" t="s">
        <v>384</v>
      </c>
      <c r="B130" t="s">
        <v>142</v>
      </c>
      <c r="C130" t="s">
        <v>376</v>
      </c>
      <c r="D130">
        <v>0</v>
      </c>
      <c r="E130">
        <v>2</v>
      </c>
      <c r="F130" t="s">
        <v>140</v>
      </c>
      <c r="G130" t="s">
        <v>441</v>
      </c>
      <c r="H130" t="s">
        <v>174</v>
      </c>
      <c r="I130" t="s">
        <v>498</v>
      </c>
    </row>
    <row r="131" spans="1:9" x14ac:dyDescent="0.25">
      <c r="A131" t="s">
        <v>384</v>
      </c>
      <c r="B131" t="s">
        <v>142</v>
      </c>
      <c r="C131" t="s">
        <v>376</v>
      </c>
      <c r="D131">
        <v>0</v>
      </c>
      <c r="E131">
        <v>2</v>
      </c>
      <c r="F131" t="s">
        <v>275</v>
      </c>
      <c r="G131" t="s">
        <v>441</v>
      </c>
      <c r="H131" t="s">
        <v>175</v>
      </c>
      <c r="I131" t="s">
        <v>543</v>
      </c>
    </row>
    <row r="132" spans="1:9" x14ac:dyDescent="0.25">
      <c r="A132" t="s">
        <v>384</v>
      </c>
      <c r="B132" t="s">
        <v>142</v>
      </c>
      <c r="C132" t="s">
        <v>376</v>
      </c>
      <c r="D132">
        <v>0</v>
      </c>
      <c r="E132">
        <v>2</v>
      </c>
      <c r="F132" t="s">
        <v>140</v>
      </c>
      <c r="G132" t="s">
        <v>444</v>
      </c>
      <c r="H132" t="s">
        <v>176</v>
      </c>
      <c r="I132" t="s">
        <v>544</v>
      </c>
    </row>
    <row r="133" spans="1:9" x14ac:dyDescent="0.25">
      <c r="A133" t="s">
        <v>384</v>
      </c>
      <c r="B133" t="s">
        <v>142</v>
      </c>
      <c r="C133" t="s">
        <v>376</v>
      </c>
      <c r="D133">
        <v>0</v>
      </c>
      <c r="E133">
        <v>2</v>
      </c>
      <c r="F133" t="s">
        <v>275</v>
      </c>
      <c r="G133" t="s">
        <v>444</v>
      </c>
      <c r="H133" t="s">
        <v>177</v>
      </c>
      <c r="I133" t="s">
        <v>545</v>
      </c>
    </row>
    <row r="134" spans="1:9" x14ac:dyDescent="0.25">
      <c r="A134" t="s">
        <v>384</v>
      </c>
      <c r="B134" t="s">
        <v>142</v>
      </c>
      <c r="C134" t="s">
        <v>376</v>
      </c>
      <c r="D134">
        <v>0</v>
      </c>
      <c r="E134">
        <v>2</v>
      </c>
      <c r="F134" t="s">
        <v>377</v>
      </c>
      <c r="G134" t="s">
        <v>441</v>
      </c>
      <c r="H134" t="s">
        <v>369</v>
      </c>
      <c r="I134" t="s">
        <v>546</v>
      </c>
    </row>
    <row r="135" spans="1:9" x14ac:dyDescent="0.25">
      <c r="A135" t="s">
        <v>384</v>
      </c>
      <c r="B135" t="s">
        <v>142</v>
      </c>
      <c r="C135" t="s">
        <v>376</v>
      </c>
      <c r="D135">
        <v>0</v>
      </c>
      <c r="E135">
        <v>2</v>
      </c>
      <c r="F135" t="s">
        <v>378</v>
      </c>
      <c r="G135" t="s">
        <v>441</v>
      </c>
      <c r="H135" t="s">
        <v>370</v>
      </c>
      <c r="I135" t="s">
        <v>547</v>
      </c>
    </row>
    <row r="136" spans="1:9" x14ac:dyDescent="0.25">
      <c r="A136" t="s">
        <v>384</v>
      </c>
      <c r="B136" t="s">
        <v>142</v>
      </c>
      <c r="C136" t="s">
        <v>376</v>
      </c>
      <c r="D136">
        <v>0</v>
      </c>
      <c r="E136">
        <v>2</v>
      </c>
      <c r="F136" t="s">
        <v>377</v>
      </c>
      <c r="G136" t="s">
        <v>444</v>
      </c>
      <c r="H136" t="s">
        <v>397</v>
      </c>
      <c r="I136" t="s">
        <v>548</v>
      </c>
    </row>
    <row r="137" spans="1:9" x14ac:dyDescent="0.25">
      <c r="A137" t="s">
        <v>384</v>
      </c>
      <c r="B137" t="s">
        <v>142</v>
      </c>
      <c r="C137" t="s">
        <v>376</v>
      </c>
      <c r="D137">
        <v>0</v>
      </c>
      <c r="E137">
        <v>2</v>
      </c>
      <c r="F137" t="s">
        <v>378</v>
      </c>
      <c r="G137" t="s">
        <v>444</v>
      </c>
      <c r="H137" t="s">
        <v>398</v>
      </c>
      <c r="I137" t="s">
        <v>549</v>
      </c>
    </row>
    <row r="138" spans="1:9" x14ac:dyDescent="0.25">
      <c r="A138" t="s">
        <v>384</v>
      </c>
      <c r="B138" t="s">
        <v>142</v>
      </c>
      <c r="C138" t="s">
        <v>379</v>
      </c>
      <c r="D138">
        <v>0</v>
      </c>
      <c r="E138">
        <v>2</v>
      </c>
      <c r="F138" t="s">
        <v>140</v>
      </c>
      <c r="G138" t="s">
        <v>441</v>
      </c>
      <c r="H138" t="s">
        <v>371</v>
      </c>
      <c r="I138" t="s">
        <v>550</v>
      </c>
    </row>
    <row r="139" spans="1:9" x14ac:dyDescent="0.25">
      <c r="A139" t="s">
        <v>384</v>
      </c>
      <c r="B139" t="s">
        <v>142</v>
      </c>
      <c r="C139" t="s">
        <v>379</v>
      </c>
      <c r="D139">
        <v>0</v>
      </c>
      <c r="E139">
        <v>2</v>
      </c>
      <c r="F139" t="s">
        <v>275</v>
      </c>
      <c r="G139" t="s">
        <v>441</v>
      </c>
      <c r="H139" t="s">
        <v>372</v>
      </c>
      <c r="I139" t="s">
        <v>551</v>
      </c>
    </row>
    <row r="140" spans="1:9" x14ac:dyDescent="0.25">
      <c r="A140" t="s">
        <v>384</v>
      </c>
      <c r="B140" t="s">
        <v>142</v>
      </c>
      <c r="C140" t="s">
        <v>379</v>
      </c>
      <c r="D140">
        <v>0</v>
      </c>
      <c r="E140">
        <v>2</v>
      </c>
      <c r="F140" t="s">
        <v>140</v>
      </c>
      <c r="G140" t="s">
        <v>444</v>
      </c>
      <c r="H140" t="s">
        <v>399</v>
      </c>
      <c r="I140" t="s">
        <v>544</v>
      </c>
    </row>
    <row r="141" spans="1:9" x14ac:dyDescent="0.25">
      <c r="A141" t="s">
        <v>384</v>
      </c>
      <c r="B141" t="s">
        <v>142</v>
      </c>
      <c r="C141" t="s">
        <v>379</v>
      </c>
      <c r="D141">
        <v>0</v>
      </c>
      <c r="E141">
        <v>2</v>
      </c>
      <c r="F141" t="s">
        <v>275</v>
      </c>
      <c r="G141" t="s">
        <v>444</v>
      </c>
      <c r="H141" t="s">
        <v>400</v>
      </c>
      <c r="I141" t="s">
        <v>545</v>
      </c>
    </row>
    <row r="142" spans="1:9" x14ac:dyDescent="0.25">
      <c r="A142" t="s">
        <v>384</v>
      </c>
      <c r="B142" t="s">
        <v>142</v>
      </c>
      <c r="C142" t="s">
        <v>379</v>
      </c>
      <c r="D142">
        <v>0</v>
      </c>
      <c r="E142">
        <v>2</v>
      </c>
      <c r="F142" t="s">
        <v>377</v>
      </c>
      <c r="G142" t="s">
        <v>441</v>
      </c>
      <c r="H142" t="s">
        <v>373</v>
      </c>
      <c r="I142" t="s">
        <v>552</v>
      </c>
    </row>
    <row r="143" spans="1:9" x14ac:dyDescent="0.25">
      <c r="A143" t="s">
        <v>384</v>
      </c>
      <c r="B143" t="s">
        <v>142</v>
      </c>
      <c r="C143" t="s">
        <v>379</v>
      </c>
      <c r="D143">
        <v>0</v>
      </c>
      <c r="E143">
        <v>2</v>
      </c>
      <c r="F143" t="s">
        <v>378</v>
      </c>
      <c r="G143" t="s">
        <v>441</v>
      </c>
      <c r="H143" t="s">
        <v>374</v>
      </c>
      <c r="I143" t="s">
        <v>553</v>
      </c>
    </row>
    <row r="144" spans="1:9" x14ac:dyDescent="0.25">
      <c r="A144" t="s">
        <v>384</v>
      </c>
      <c r="B144" t="s">
        <v>142</v>
      </c>
      <c r="C144" t="s">
        <v>379</v>
      </c>
      <c r="D144">
        <v>0</v>
      </c>
      <c r="E144">
        <v>2</v>
      </c>
      <c r="F144" t="s">
        <v>377</v>
      </c>
      <c r="G144" t="s">
        <v>444</v>
      </c>
      <c r="H144" t="s">
        <v>401</v>
      </c>
      <c r="I144" t="s">
        <v>548</v>
      </c>
    </row>
    <row r="145" spans="1:17" x14ac:dyDescent="0.25">
      <c r="A145" t="s">
        <v>384</v>
      </c>
      <c r="B145" t="s">
        <v>142</v>
      </c>
      <c r="C145" t="s">
        <v>379</v>
      </c>
      <c r="D145">
        <v>0</v>
      </c>
      <c r="E145">
        <v>2</v>
      </c>
      <c r="F145" t="s">
        <v>378</v>
      </c>
      <c r="G145" t="s">
        <v>444</v>
      </c>
      <c r="H145" t="s">
        <v>402</v>
      </c>
      <c r="I145" t="s">
        <v>549</v>
      </c>
    </row>
    <row r="146" spans="1:17" x14ac:dyDescent="0.25">
      <c r="A146" t="s">
        <v>375</v>
      </c>
      <c r="B146" t="s">
        <v>142</v>
      </c>
      <c r="C146" t="s">
        <v>376</v>
      </c>
      <c r="D146">
        <v>1</v>
      </c>
      <c r="E146">
        <v>0</v>
      </c>
      <c r="F146" t="s">
        <v>622</v>
      </c>
      <c r="H146" t="s">
        <v>623</v>
      </c>
      <c r="I146" t="str">
        <f>_xlfn.CONCAT(J146:Q146)</f>
        <v>[1][PROC GENMOD][EXCH CORR][MI][RR_glm_agestrat_strat][bghhsub_s2]</v>
      </c>
      <c r="J146" t="s">
        <v>641</v>
      </c>
      <c r="K146" t="s">
        <v>647</v>
      </c>
      <c r="L146" t="str">
        <f>IF(C146="bin","[BINARY]","")</f>
        <v/>
      </c>
      <c r="M146" t="str">
        <f t="shared" ref="M146:M181" si="0">"["&amp;UPPER(B146)&amp;" CORR]"</f>
        <v>[EXCH CORR]</v>
      </c>
      <c r="N146" t="str">
        <f t="shared" ref="N146:N181" si="1">IF(D146=1,"[MI]","[NO MI]")</f>
        <v>[MI]</v>
      </c>
      <c r="O146" t="s">
        <v>649</v>
      </c>
      <c r="P146" t="str">
        <f>IF(E146=1,"[NOMISS V3]","")</f>
        <v/>
      </c>
      <c r="Q146" t="s">
        <v>652</v>
      </c>
    </row>
    <row r="147" spans="1:17" x14ac:dyDescent="0.25">
      <c r="A147" t="s">
        <v>375</v>
      </c>
      <c r="B147" t="s">
        <v>142</v>
      </c>
      <c r="C147" t="s">
        <v>379</v>
      </c>
      <c r="D147">
        <v>1</v>
      </c>
      <c r="E147">
        <v>0</v>
      </c>
      <c r="F147" t="s">
        <v>622</v>
      </c>
      <c r="H147" t="s">
        <v>624</v>
      </c>
      <c r="I147" t="str">
        <f t="shared" ref="I147:I181" si="2">_xlfn.CONCAT(J147:Q147)</f>
        <v>[1][PROC GENMOD][BINARY][EXCH CORR][MI][RR_glm_agestrat_strat][bghhsub_s2]</v>
      </c>
      <c r="J147" t="s">
        <v>641</v>
      </c>
      <c r="K147" t="s">
        <v>647</v>
      </c>
      <c r="L147" t="str">
        <f t="shared" ref="L147:L181" si="3">IF(C147="bin","[BINARY]","")</f>
        <v>[BINARY]</v>
      </c>
      <c r="M147" t="str">
        <f t="shared" si="0"/>
        <v>[EXCH CORR]</v>
      </c>
      <c r="N147" t="str">
        <f t="shared" si="1"/>
        <v>[MI]</v>
      </c>
      <c r="O147" t="s">
        <v>649</v>
      </c>
      <c r="P147" t="str">
        <f t="shared" ref="P147:P181" si="4">IF(E147=1,"[NOMISS V3]","")</f>
        <v/>
      </c>
      <c r="Q147" t="s">
        <v>652</v>
      </c>
    </row>
    <row r="148" spans="1:17" x14ac:dyDescent="0.25">
      <c r="A148" t="s">
        <v>380</v>
      </c>
      <c r="B148" t="s">
        <v>142</v>
      </c>
      <c r="C148" t="s">
        <v>376</v>
      </c>
      <c r="D148">
        <v>0</v>
      </c>
      <c r="E148">
        <v>0</v>
      </c>
      <c r="F148" t="s">
        <v>622</v>
      </c>
      <c r="G148" t="s">
        <v>441</v>
      </c>
      <c r="H148" t="s">
        <v>625</v>
      </c>
      <c r="I148" t="str">
        <f t="shared" si="2"/>
        <v>[2][PROC GENMOD][EXCH CORR][NO MI][RR_glm_agestrat_strat][bghhsub_s2]</v>
      </c>
      <c r="J148" t="s">
        <v>642</v>
      </c>
      <c r="K148" t="s">
        <v>647</v>
      </c>
      <c r="L148" t="str">
        <f t="shared" si="3"/>
        <v/>
      </c>
      <c r="M148" t="str">
        <f t="shared" si="0"/>
        <v>[EXCH CORR]</v>
      </c>
      <c r="N148" t="str">
        <f t="shared" si="1"/>
        <v>[NO MI]</v>
      </c>
      <c r="O148" t="s">
        <v>649</v>
      </c>
      <c r="P148" t="str">
        <f t="shared" si="4"/>
        <v/>
      </c>
      <c r="Q148" t="s">
        <v>652</v>
      </c>
    </row>
    <row r="149" spans="1:17" x14ac:dyDescent="0.25">
      <c r="A149" t="s">
        <v>380</v>
      </c>
      <c r="B149" t="s">
        <v>142</v>
      </c>
      <c r="C149" t="s">
        <v>376</v>
      </c>
      <c r="D149">
        <v>0</v>
      </c>
      <c r="E149">
        <v>0</v>
      </c>
      <c r="F149" t="s">
        <v>622</v>
      </c>
      <c r="G149" t="s">
        <v>444</v>
      </c>
      <c r="H149" t="s">
        <v>626</v>
      </c>
      <c r="I149" t="str">
        <f t="shared" si="2"/>
        <v>[2][PROC GEE][EXCH CORR][NO MI][RR_glm_agestrat_strat][bghhsub_s2]</v>
      </c>
      <c r="J149" t="s">
        <v>642</v>
      </c>
      <c r="K149" t="s">
        <v>648</v>
      </c>
      <c r="L149" t="str">
        <f t="shared" si="3"/>
        <v/>
      </c>
      <c r="M149" t="str">
        <f t="shared" si="0"/>
        <v>[EXCH CORR]</v>
      </c>
      <c r="N149" t="str">
        <f t="shared" si="1"/>
        <v>[NO MI]</v>
      </c>
      <c r="O149" t="s">
        <v>649</v>
      </c>
      <c r="P149" t="str">
        <f t="shared" si="4"/>
        <v/>
      </c>
      <c r="Q149" t="s">
        <v>652</v>
      </c>
    </row>
    <row r="150" spans="1:17" x14ac:dyDescent="0.25">
      <c r="A150" t="s">
        <v>380</v>
      </c>
      <c r="B150" t="s">
        <v>142</v>
      </c>
      <c r="C150" t="s">
        <v>379</v>
      </c>
      <c r="D150">
        <v>0</v>
      </c>
      <c r="E150">
        <v>0</v>
      </c>
      <c r="F150" t="s">
        <v>622</v>
      </c>
      <c r="G150" t="s">
        <v>441</v>
      </c>
      <c r="H150" t="s">
        <v>627</v>
      </c>
      <c r="I150" t="str">
        <f t="shared" si="2"/>
        <v>[2][PROC GENMOD][BINARY][EXCH CORR][NO MI][RR_glm_agestrat_strat][bghhsub_s2]</v>
      </c>
      <c r="J150" t="s">
        <v>642</v>
      </c>
      <c r="K150" t="s">
        <v>647</v>
      </c>
      <c r="L150" t="str">
        <f t="shared" si="3"/>
        <v>[BINARY]</v>
      </c>
      <c r="M150" t="str">
        <f t="shared" si="0"/>
        <v>[EXCH CORR]</v>
      </c>
      <c r="N150" t="str">
        <f t="shared" si="1"/>
        <v>[NO MI]</v>
      </c>
      <c r="O150" t="s">
        <v>649</v>
      </c>
      <c r="P150" t="str">
        <f t="shared" si="4"/>
        <v/>
      </c>
      <c r="Q150" t="s">
        <v>652</v>
      </c>
    </row>
    <row r="151" spans="1:17" x14ac:dyDescent="0.25">
      <c r="A151" t="s">
        <v>380</v>
      </c>
      <c r="B151" t="s">
        <v>142</v>
      </c>
      <c r="C151" t="s">
        <v>379</v>
      </c>
      <c r="D151">
        <v>0</v>
      </c>
      <c r="E151">
        <v>0</v>
      </c>
      <c r="F151" t="s">
        <v>622</v>
      </c>
      <c r="G151" t="s">
        <v>444</v>
      </c>
      <c r="H151" t="s">
        <v>628</v>
      </c>
      <c r="I151" t="str">
        <f t="shared" si="2"/>
        <v>[2][PROC GEE][BINARY][EXCH CORR][NO MI][RR_glm_agestrat_strat][bghhsub_s2]</v>
      </c>
      <c r="J151" t="s">
        <v>642</v>
      </c>
      <c r="K151" t="s">
        <v>648</v>
      </c>
      <c r="L151" t="str">
        <f t="shared" si="3"/>
        <v>[BINARY]</v>
      </c>
      <c r="M151" t="str">
        <f t="shared" si="0"/>
        <v>[EXCH CORR]</v>
      </c>
      <c r="N151" t="str">
        <f t="shared" si="1"/>
        <v>[NO MI]</v>
      </c>
      <c r="O151" t="s">
        <v>649</v>
      </c>
      <c r="P151" t="str">
        <f t="shared" si="4"/>
        <v/>
      </c>
      <c r="Q151" t="s">
        <v>652</v>
      </c>
    </row>
    <row r="152" spans="1:17" x14ac:dyDescent="0.25">
      <c r="A152" t="s">
        <v>381</v>
      </c>
      <c r="B152" t="s">
        <v>142</v>
      </c>
      <c r="C152" t="s">
        <v>376</v>
      </c>
      <c r="D152">
        <v>1</v>
      </c>
      <c r="E152">
        <v>1</v>
      </c>
      <c r="F152" t="s">
        <v>622</v>
      </c>
      <c r="H152" t="s">
        <v>629</v>
      </c>
      <c r="I152" t="str">
        <f t="shared" si="2"/>
        <v>[3][PROC GENMOD][EXCH CORR][MI][RR_glm_agestrat_strat][NOMISS V3][bghhsub_s2_v3_nr]</v>
      </c>
      <c r="J152" t="s">
        <v>643</v>
      </c>
      <c r="K152" t="s">
        <v>647</v>
      </c>
      <c r="L152" t="str">
        <f t="shared" si="3"/>
        <v/>
      </c>
      <c r="M152" t="str">
        <f t="shared" si="0"/>
        <v>[EXCH CORR]</v>
      </c>
      <c r="N152" t="str">
        <f t="shared" si="1"/>
        <v>[MI]</v>
      </c>
      <c r="O152" t="s">
        <v>649</v>
      </c>
      <c r="P152" t="str">
        <f t="shared" si="4"/>
        <v>[NOMISS V3]</v>
      </c>
      <c r="Q152" t="s">
        <v>651</v>
      </c>
    </row>
    <row r="153" spans="1:17" x14ac:dyDescent="0.25">
      <c r="A153" t="s">
        <v>381</v>
      </c>
      <c r="B153" t="s">
        <v>142</v>
      </c>
      <c r="C153" t="s">
        <v>379</v>
      </c>
      <c r="D153">
        <v>1</v>
      </c>
      <c r="E153">
        <v>1</v>
      </c>
      <c r="F153" t="s">
        <v>622</v>
      </c>
      <c r="H153" t="s">
        <v>630</v>
      </c>
      <c r="I153" t="str">
        <f t="shared" si="2"/>
        <v>[3][PROC GENMOD][BINARY][EXCH CORR][MI][RR_glm_agestrat_strat][NOMISS V3][bghhsub_s2_v3_nr]</v>
      </c>
      <c r="J153" t="s">
        <v>643</v>
      </c>
      <c r="K153" t="s">
        <v>647</v>
      </c>
      <c r="L153" t="str">
        <f t="shared" si="3"/>
        <v>[BINARY]</v>
      </c>
      <c r="M153" t="str">
        <f t="shared" si="0"/>
        <v>[EXCH CORR]</v>
      </c>
      <c r="N153" t="str">
        <f t="shared" si="1"/>
        <v>[MI]</v>
      </c>
      <c r="O153" t="s">
        <v>649</v>
      </c>
      <c r="P153" t="str">
        <f t="shared" si="4"/>
        <v>[NOMISS V3]</v>
      </c>
      <c r="Q153" t="s">
        <v>651</v>
      </c>
    </row>
    <row r="154" spans="1:17" x14ac:dyDescent="0.25">
      <c r="A154" t="s">
        <v>382</v>
      </c>
      <c r="B154" t="s">
        <v>142</v>
      </c>
      <c r="C154" t="s">
        <v>376</v>
      </c>
      <c r="D154">
        <v>0</v>
      </c>
      <c r="E154">
        <v>1</v>
      </c>
      <c r="F154" t="s">
        <v>622</v>
      </c>
      <c r="G154" t="s">
        <v>441</v>
      </c>
      <c r="H154" t="s">
        <v>631</v>
      </c>
      <c r="I154" t="str">
        <f t="shared" si="2"/>
        <v>[4][PROC GENMOD][EXCH CORR][NO MI][RR_glm_agestrat_strat][NOMISS V3][bghhsub_s2_v3_nr]</v>
      </c>
      <c r="J154" t="s">
        <v>644</v>
      </c>
      <c r="K154" t="s">
        <v>647</v>
      </c>
      <c r="L154" t="str">
        <f t="shared" si="3"/>
        <v/>
      </c>
      <c r="M154" t="str">
        <f t="shared" si="0"/>
        <v>[EXCH CORR]</v>
      </c>
      <c r="N154" t="str">
        <f t="shared" si="1"/>
        <v>[NO MI]</v>
      </c>
      <c r="O154" t="s">
        <v>649</v>
      </c>
      <c r="P154" t="str">
        <f t="shared" si="4"/>
        <v>[NOMISS V3]</v>
      </c>
      <c r="Q154" t="s">
        <v>651</v>
      </c>
    </row>
    <row r="155" spans="1:17" x14ac:dyDescent="0.25">
      <c r="A155" t="s">
        <v>382</v>
      </c>
      <c r="B155" t="s">
        <v>142</v>
      </c>
      <c r="C155" t="s">
        <v>376</v>
      </c>
      <c r="D155">
        <v>0</v>
      </c>
      <c r="E155">
        <v>1</v>
      </c>
      <c r="F155" t="s">
        <v>622</v>
      </c>
      <c r="G155" t="s">
        <v>444</v>
      </c>
      <c r="H155" t="s">
        <v>632</v>
      </c>
      <c r="I155" t="str">
        <f t="shared" si="2"/>
        <v>[4][PROC GEE][EXCH CORR][NO MI][RR_glm_agestrat_strat][NOMISS V3][bghhsub_s2_v3_nr]</v>
      </c>
      <c r="J155" t="s">
        <v>644</v>
      </c>
      <c r="K155" t="s">
        <v>648</v>
      </c>
      <c r="L155" t="str">
        <f t="shared" si="3"/>
        <v/>
      </c>
      <c r="M155" t="str">
        <f t="shared" si="0"/>
        <v>[EXCH CORR]</v>
      </c>
      <c r="N155" t="str">
        <f t="shared" si="1"/>
        <v>[NO MI]</v>
      </c>
      <c r="O155" t="s">
        <v>649</v>
      </c>
      <c r="P155" t="str">
        <f t="shared" si="4"/>
        <v>[NOMISS V3]</v>
      </c>
      <c r="Q155" t="s">
        <v>651</v>
      </c>
    </row>
    <row r="156" spans="1:17" x14ac:dyDescent="0.25">
      <c r="A156" t="s">
        <v>382</v>
      </c>
      <c r="B156" t="s">
        <v>142</v>
      </c>
      <c r="C156" t="s">
        <v>379</v>
      </c>
      <c r="D156">
        <v>0</v>
      </c>
      <c r="E156">
        <v>1</v>
      </c>
      <c r="F156" t="s">
        <v>622</v>
      </c>
      <c r="G156" t="s">
        <v>441</v>
      </c>
      <c r="H156" t="s">
        <v>633</v>
      </c>
      <c r="I156" t="str">
        <f t="shared" si="2"/>
        <v>[4][PROC GENMOD][BINARY][EXCH CORR][NO MI][RR_glm_agestrat_strat][NOMISS V3][bghhsub_s2_v3_nr]</v>
      </c>
      <c r="J156" t="s">
        <v>644</v>
      </c>
      <c r="K156" t="s">
        <v>647</v>
      </c>
      <c r="L156" t="str">
        <f t="shared" si="3"/>
        <v>[BINARY]</v>
      </c>
      <c r="M156" t="str">
        <f t="shared" si="0"/>
        <v>[EXCH CORR]</v>
      </c>
      <c r="N156" t="str">
        <f t="shared" si="1"/>
        <v>[NO MI]</v>
      </c>
      <c r="O156" t="s">
        <v>649</v>
      </c>
      <c r="P156" t="str">
        <f t="shared" si="4"/>
        <v>[NOMISS V3]</v>
      </c>
      <c r="Q156" t="s">
        <v>651</v>
      </c>
    </row>
    <row r="157" spans="1:17" x14ac:dyDescent="0.25">
      <c r="A157" t="s">
        <v>382</v>
      </c>
      <c r="B157" t="s">
        <v>142</v>
      </c>
      <c r="C157" t="s">
        <v>379</v>
      </c>
      <c r="D157">
        <v>0</v>
      </c>
      <c r="E157">
        <v>1</v>
      </c>
      <c r="F157" t="s">
        <v>622</v>
      </c>
      <c r="G157" t="s">
        <v>444</v>
      </c>
      <c r="H157" t="s">
        <v>634</v>
      </c>
      <c r="I157" t="str">
        <f t="shared" si="2"/>
        <v>[4][PROC GEE][BINARY][EXCH CORR][NO MI][RR_glm_agestrat_strat][NOMISS V3][bghhsub_s2_v3_nr]</v>
      </c>
      <c r="J157" t="s">
        <v>644</v>
      </c>
      <c r="K157" t="s">
        <v>648</v>
      </c>
      <c r="L157" t="str">
        <f t="shared" si="3"/>
        <v>[BINARY]</v>
      </c>
      <c r="M157" t="str">
        <f t="shared" si="0"/>
        <v>[EXCH CORR]</v>
      </c>
      <c r="N157" t="str">
        <f t="shared" si="1"/>
        <v>[NO MI]</v>
      </c>
      <c r="O157" t="s">
        <v>649</v>
      </c>
      <c r="P157" t="str">
        <f t="shared" si="4"/>
        <v>[NOMISS V3]</v>
      </c>
      <c r="Q157" t="s">
        <v>651</v>
      </c>
    </row>
    <row r="158" spans="1:17" x14ac:dyDescent="0.25">
      <c r="A158" t="s">
        <v>383</v>
      </c>
      <c r="B158" t="s">
        <v>142</v>
      </c>
      <c r="C158" t="s">
        <v>376</v>
      </c>
      <c r="D158">
        <v>1</v>
      </c>
      <c r="E158">
        <v>2</v>
      </c>
      <c r="F158" t="s">
        <v>622</v>
      </c>
      <c r="H158" t="s">
        <v>635</v>
      </c>
      <c r="I158" t="str">
        <f t="shared" si="2"/>
        <v>[5][PROC GENMOD][EXCH CORR][MI][RR_glm_agestrat_strat][bghhsub_s2_nr]</v>
      </c>
      <c r="J158" t="s">
        <v>645</v>
      </c>
      <c r="K158" t="s">
        <v>647</v>
      </c>
      <c r="L158" t="str">
        <f t="shared" si="3"/>
        <v/>
      </c>
      <c r="M158" t="str">
        <f t="shared" si="0"/>
        <v>[EXCH CORR]</v>
      </c>
      <c r="N158" t="str">
        <f t="shared" si="1"/>
        <v>[MI]</v>
      </c>
      <c r="O158" t="s">
        <v>649</v>
      </c>
      <c r="P158" t="str">
        <f t="shared" si="4"/>
        <v/>
      </c>
      <c r="Q158" t="s">
        <v>650</v>
      </c>
    </row>
    <row r="159" spans="1:17" x14ac:dyDescent="0.25">
      <c r="A159" t="s">
        <v>383</v>
      </c>
      <c r="B159" t="s">
        <v>142</v>
      </c>
      <c r="C159" t="s">
        <v>379</v>
      </c>
      <c r="D159">
        <v>1</v>
      </c>
      <c r="E159">
        <v>2</v>
      </c>
      <c r="F159" t="s">
        <v>622</v>
      </c>
      <c r="H159" t="s">
        <v>636</v>
      </c>
      <c r="I159" t="str">
        <f t="shared" si="2"/>
        <v>[5][PROC GENMOD][BINARY][EXCH CORR][MI][RR_glm_agestrat_strat][bghhsub_s2_nr]</v>
      </c>
      <c r="J159" t="s">
        <v>645</v>
      </c>
      <c r="K159" t="s">
        <v>647</v>
      </c>
      <c r="L159" t="str">
        <f t="shared" si="3"/>
        <v>[BINARY]</v>
      </c>
      <c r="M159" t="str">
        <f t="shared" si="0"/>
        <v>[EXCH CORR]</v>
      </c>
      <c r="N159" t="str">
        <f t="shared" si="1"/>
        <v>[MI]</v>
      </c>
      <c r="O159" t="s">
        <v>649</v>
      </c>
      <c r="P159" t="str">
        <f t="shared" si="4"/>
        <v/>
      </c>
      <c r="Q159" t="s">
        <v>650</v>
      </c>
    </row>
    <row r="160" spans="1:17" x14ac:dyDescent="0.25">
      <c r="A160" t="s">
        <v>384</v>
      </c>
      <c r="B160" t="s">
        <v>142</v>
      </c>
      <c r="C160" t="s">
        <v>376</v>
      </c>
      <c r="D160">
        <v>0</v>
      </c>
      <c r="E160">
        <v>2</v>
      </c>
      <c r="F160" t="s">
        <v>622</v>
      </c>
      <c r="G160" t="s">
        <v>441</v>
      </c>
      <c r="H160" t="s">
        <v>637</v>
      </c>
      <c r="I160" t="str">
        <f t="shared" si="2"/>
        <v>[6][PROC GENMOD][EXCH CORR][NO MI][RR_glm_agestrat_strat][bghhsub_s2_nr]</v>
      </c>
      <c r="J160" t="s">
        <v>646</v>
      </c>
      <c r="K160" t="s">
        <v>647</v>
      </c>
      <c r="L160" t="str">
        <f t="shared" si="3"/>
        <v/>
      </c>
      <c r="M160" t="str">
        <f t="shared" si="0"/>
        <v>[EXCH CORR]</v>
      </c>
      <c r="N160" t="str">
        <f t="shared" si="1"/>
        <v>[NO MI]</v>
      </c>
      <c r="O160" t="s">
        <v>649</v>
      </c>
      <c r="P160" t="str">
        <f t="shared" si="4"/>
        <v/>
      </c>
      <c r="Q160" t="s">
        <v>650</v>
      </c>
    </row>
    <row r="161" spans="1:17" x14ac:dyDescent="0.25">
      <c r="A161" t="s">
        <v>384</v>
      </c>
      <c r="B161" t="s">
        <v>142</v>
      </c>
      <c r="C161" t="s">
        <v>376</v>
      </c>
      <c r="D161">
        <v>0</v>
      </c>
      <c r="E161">
        <v>2</v>
      </c>
      <c r="F161" t="s">
        <v>622</v>
      </c>
      <c r="G161" t="s">
        <v>444</v>
      </c>
      <c r="H161" t="s">
        <v>638</v>
      </c>
      <c r="I161" t="str">
        <f t="shared" si="2"/>
        <v>[6][PROC GEE][EXCH CORR][NO MI][RR_glm_agestrat_strat][bghhsub_s2_nr]</v>
      </c>
      <c r="J161" t="s">
        <v>646</v>
      </c>
      <c r="K161" t="s">
        <v>648</v>
      </c>
      <c r="L161" t="str">
        <f t="shared" si="3"/>
        <v/>
      </c>
      <c r="M161" t="str">
        <f t="shared" si="0"/>
        <v>[EXCH CORR]</v>
      </c>
      <c r="N161" t="str">
        <f t="shared" si="1"/>
        <v>[NO MI]</v>
      </c>
      <c r="O161" t="s">
        <v>649</v>
      </c>
      <c r="P161" t="str">
        <f t="shared" si="4"/>
        <v/>
      </c>
      <c r="Q161" t="s">
        <v>650</v>
      </c>
    </row>
    <row r="162" spans="1:17" x14ac:dyDescent="0.25">
      <c r="A162" t="s">
        <v>384</v>
      </c>
      <c r="B162" t="s">
        <v>142</v>
      </c>
      <c r="C162" t="s">
        <v>379</v>
      </c>
      <c r="D162">
        <v>0</v>
      </c>
      <c r="E162">
        <v>2</v>
      </c>
      <c r="F162" t="s">
        <v>622</v>
      </c>
      <c r="G162" t="s">
        <v>441</v>
      </c>
      <c r="H162" t="s">
        <v>639</v>
      </c>
      <c r="I162" t="str">
        <f t="shared" si="2"/>
        <v>[6][PROC GENMOD][BINARY][EXCH CORR][NO MI][RR_glm_agestrat_strat][bghhsub_s2_nr]</v>
      </c>
      <c r="J162" t="s">
        <v>646</v>
      </c>
      <c r="K162" t="s">
        <v>647</v>
      </c>
      <c r="L162" t="str">
        <f t="shared" si="3"/>
        <v>[BINARY]</v>
      </c>
      <c r="M162" t="str">
        <f t="shared" si="0"/>
        <v>[EXCH CORR]</v>
      </c>
      <c r="N162" t="str">
        <f t="shared" si="1"/>
        <v>[NO MI]</v>
      </c>
      <c r="O162" t="s">
        <v>649</v>
      </c>
      <c r="P162" t="str">
        <f t="shared" si="4"/>
        <v/>
      </c>
      <c r="Q162" t="s">
        <v>650</v>
      </c>
    </row>
    <row r="163" spans="1:17" x14ac:dyDescent="0.25">
      <c r="A163" t="s">
        <v>384</v>
      </c>
      <c r="B163" t="s">
        <v>142</v>
      </c>
      <c r="C163" t="s">
        <v>379</v>
      </c>
      <c r="D163">
        <v>0</v>
      </c>
      <c r="E163">
        <v>2</v>
      </c>
      <c r="F163" t="s">
        <v>622</v>
      </c>
      <c r="G163" t="s">
        <v>444</v>
      </c>
      <c r="H163" t="s">
        <v>640</v>
      </c>
      <c r="I163" t="str">
        <f t="shared" si="2"/>
        <v>[6][PROC GEE][BINARY][EXCH CORR][NO MI][RR_glm_agestrat_strat][bghhsub_s2_nr]</v>
      </c>
      <c r="J163" t="s">
        <v>646</v>
      </c>
      <c r="K163" t="s">
        <v>648</v>
      </c>
      <c r="L163" t="str">
        <f t="shared" si="3"/>
        <v>[BINARY]</v>
      </c>
      <c r="M163" t="str">
        <f t="shared" si="0"/>
        <v>[EXCH CORR]</v>
      </c>
      <c r="N163" t="str">
        <f t="shared" si="1"/>
        <v>[NO MI]</v>
      </c>
      <c r="O163" t="s">
        <v>649</v>
      </c>
      <c r="P163" t="str">
        <f t="shared" si="4"/>
        <v/>
      </c>
      <c r="Q163" t="s">
        <v>650</v>
      </c>
    </row>
    <row r="164" spans="1:17" x14ac:dyDescent="0.25">
      <c r="A164" t="s">
        <v>375</v>
      </c>
      <c r="B164" t="s">
        <v>143</v>
      </c>
      <c r="C164" t="s">
        <v>376</v>
      </c>
      <c r="D164">
        <v>1</v>
      </c>
      <c r="E164">
        <v>0</v>
      </c>
      <c r="F164" t="s">
        <v>622</v>
      </c>
      <c r="H164" t="s">
        <v>623</v>
      </c>
      <c r="I164" t="str">
        <f t="shared" si="2"/>
        <v>[1][PROC GENMOD][IND CORR][MI][RR_glm_agestrat_strat][bghhsub_s2]</v>
      </c>
      <c r="J164" t="s">
        <v>641</v>
      </c>
      <c r="K164" t="s">
        <v>647</v>
      </c>
      <c r="L164" t="str">
        <f t="shared" si="3"/>
        <v/>
      </c>
      <c r="M164" t="str">
        <f t="shared" si="0"/>
        <v>[IND CORR]</v>
      </c>
      <c r="N164" t="str">
        <f t="shared" si="1"/>
        <v>[MI]</v>
      </c>
      <c r="O164" t="s">
        <v>649</v>
      </c>
      <c r="P164" t="str">
        <f t="shared" si="4"/>
        <v/>
      </c>
      <c r="Q164" t="s">
        <v>652</v>
      </c>
    </row>
    <row r="165" spans="1:17" x14ac:dyDescent="0.25">
      <c r="A165" t="s">
        <v>375</v>
      </c>
      <c r="B165" t="s">
        <v>143</v>
      </c>
      <c r="C165" t="s">
        <v>379</v>
      </c>
      <c r="D165">
        <v>1</v>
      </c>
      <c r="E165">
        <v>0</v>
      </c>
      <c r="F165" t="s">
        <v>622</v>
      </c>
      <c r="H165" t="s">
        <v>624</v>
      </c>
      <c r="I165" t="str">
        <f t="shared" si="2"/>
        <v>[1][PROC GENMOD][BINARY][IND CORR][MI][RR_glm_agestrat_strat][bghhsub_s2]</v>
      </c>
      <c r="J165" t="s">
        <v>641</v>
      </c>
      <c r="K165" t="s">
        <v>647</v>
      </c>
      <c r="L165" t="str">
        <f t="shared" si="3"/>
        <v>[BINARY]</v>
      </c>
      <c r="M165" t="str">
        <f t="shared" si="0"/>
        <v>[IND CORR]</v>
      </c>
      <c r="N165" t="str">
        <f t="shared" si="1"/>
        <v>[MI]</v>
      </c>
      <c r="O165" t="s">
        <v>649</v>
      </c>
      <c r="P165" t="str">
        <f t="shared" si="4"/>
        <v/>
      </c>
      <c r="Q165" t="s">
        <v>652</v>
      </c>
    </row>
    <row r="166" spans="1:17" x14ac:dyDescent="0.25">
      <c r="A166" t="s">
        <v>380</v>
      </c>
      <c r="B166" t="s">
        <v>143</v>
      </c>
      <c r="C166" t="s">
        <v>376</v>
      </c>
      <c r="D166">
        <v>0</v>
      </c>
      <c r="E166">
        <v>0</v>
      </c>
      <c r="F166" t="s">
        <v>622</v>
      </c>
      <c r="G166" t="s">
        <v>441</v>
      </c>
      <c r="H166" t="s">
        <v>625</v>
      </c>
      <c r="I166" t="str">
        <f t="shared" si="2"/>
        <v>[2][PROC GENMOD][IND CORR][NO MI][RR_glm_agestrat_strat][bghhsub_s2]</v>
      </c>
      <c r="J166" t="s">
        <v>642</v>
      </c>
      <c r="K166" t="s">
        <v>647</v>
      </c>
      <c r="L166" t="str">
        <f t="shared" si="3"/>
        <v/>
      </c>
      <c r="M166" t="str">
        <f t="shared" si="0"/>
        <v>[IND CORR]</v>
      </c>
      <c r="N166" t="str">
        <f t="shared" si="1"/>
        <v>[NO MI]</v>
      </c>
      <c r="O166" t="s">
        <v>649</v>
      </c>
      <c r="P166" t="str">
        <f t="shared" si="4"/>
        <v/>
      </c>
      <c r="Q166" t="s">
        <v>652</v>
      </c>
    </row>
    <row r="167" spans="1:17" x14ac:dyDescent="0.25">
      <c r="A167" t="s">
        <v>380</v>
      </c>
      <c r="B167" t="s">
        <v>143</v>
      </c>
      <c r="C167" t="s">
        <v>376</v>
      </c>
      <c r="D167">
        <v>0</v>
      </c>
      <c r="E167">
        <v>0</v>
      </c>
      <c r="F167" t="s">
        <v>622</v>
      </c>
      <c r="G167" t="s">
        <v>444</v>
      </c>
      <c r="H167" t="s">
        <v>626</v>
      </c>
      <c r="I167" t="str">
        <f t="shared" si="2"/>
        <v>[2][PROC GEE][IND CORR][NO MI][RR_glm_agestrat_strat][bghhsub_s2]</v>
      </c>
      <c r="J167" t="s">
        <v>642</v>
      </c>
      <c r="K167" t="s">
        <v>648</v>
      </c>
      <c r="L167" t="str">
        <f t="shared" si="3"/>
        <v/>
      </c>
      <c r="M167" t="str">
        <f t="shared" si="0"/>
        <v>[IND CORR]</v>
      </c>
      <c r="N167" t="str">
        <f t="shared" si="1"/>
        <v>[NO MI]</v>
      </c>
      <c r="O167" t="s">
        <v>649</v>
      </c>
      <c r="P167" t="str">
        <f t="shared" si="4"/>
        <v/>
      </c>
      <c r="Q167" t="s">
        <v>652</v>
      </c>
    </row>
    <row r="168" spans="1:17" x14ac:dyDescent="0.25">
      <c r="A168" t="s">
        <v>380</v>
      </c>
      <c r="B168" t="s">
        <v>143</v>
      </c>
      <c r="C168" t="s">
        <v>379</v>
      </c>
      <c r="D168">
        <v>0</v>
      </c>
      <c r="E168">
        <v>0</v>
      </c>
      <c r="F168" t="s">
        <v>622</v>
      </c>
      <c r="G168" t="s">
        <v>441</v>
      </c>
      <c r="H168" t="s">
        <v>627</v>
      </c>
      <c r="I168" t="str">
        <f t="shared" si="2"/>
        <v>[2][PROC GENMOD][BINARY][IND CORR][NO MI][RR_glm_agestrat_strat][bghhsub_s2]</v>
      </c>
      <c r="J168" t="s">
        <v>642</v>
      </c>
      <c r="K168" t="s">
        <v>647</v>
      </c>
      <c r="L168" t="str">
        <f t="shared" si="3"/>
        <v>[BINARY]</v>
      </c>
      <c r="M168" t="str">
        <f t="shared" si="0"/>
        <v>[IND CORR]</v>
      </c>
      <c r="N168" t="str">
        <f t="shared" si="1"/>
        <v>[NO MI]</v>
      </c>
      <c r="O168" t="s">
        <v>649</v>
      </c>
      <c r="P168" t="str">
        <f t="shared" si="4"/>
        <v/>
      </c>
      <c r="Q168" t="s">
        <v>652</v>
      </c>
    </row>
    <row r="169" spans="1:17" x14ac:dyDescent="0.25">
      <c r="A169" t="s">
        <v>380</v>
      </c>
      <c r="B169" t="s">
        <v>143</v>
      </c>
      <c r="C169" t="s">
        <v>379</v>
      </c>
      <c r="D169">
        <v>0</v>
      </c>
      <c r="E169">
        <v>0</v>
      </c>
      <c r="F169" t="s">
        <v>622</v>
      </c>
      <c r="G169" t="s">
        <v>444</v>
      </c>
      <c r="H169" t="s">
        <v>628</v>
      </c>
      <c r="I169" t="str">
        <f t="shared" si="2"/>
        <v>[2][PROC GEE][BINARY][IND CORR][NO MI][RR_glm_agestrat_strat][bghhsub_s2]</v>
      </c>
      <c r="J169" t="s">
        <v>642</v>
      </c>
      <c r="K169" t="s">
        <v>648</v>
      </c>
      <c r="L169" t="str">
        <f t="shared" si="3"/>
        <v>[BINARY]</v>
      </c>
      <c r="M169" t="str">
        <f t="shared" si="0"/>
        <v>[IND CORR]</v>
      </c>
      <c r="N169" t="str">
        <f t="shared" si="1"/>
        <v>[NO MI]</v>
      </c>
      <c r="O169" t="s">
        <v>649</v>
      </c>
      <c r="P169" t="str">
        <f t="shared" si="4"/>
        <v/>
      </c>
      <c r="Q169" t="s">
        <v>652</v>
      </c>
    </row>
    <row r="170" spans="1:17" x14ac:dyDescent="0.25">
      <c r="A170" t="s">
        <v>381</v>
      </c>
      <c r="B170" t="s">
        <v>143</v>
      </c>
      <c r="C170" t="s">
        <v>376</v>
      </c>
      <c r="D170">
        <v>1</v>
      </c>
      <c r="E170">
        <v>1</v>
      </c>
      <c r="F170" t="s">
        <v>622</v>
      </c>
      <c r="H170" t="s">
        <v>629</v>
      </c>
      <c r="I170" t="str">
        <f t="shared" si="2"/>
        <v>[3][PROC GENMOD][IND CORR][MI][RR_glm_agestrat_strat][NOMISS V3][bghhsub_s2_v3_nr]</v>
      </c>
      <c r="J170" t="s">
        <v>643</v>
      </c>
      <c r="K170" t="s">
        <v>647</v>
      </c>
      <c r="L170" t="str">
        <f t="shared" si="3"/>
        <v/>
      </c>
      <c r="M170" t="str">
        <f t="shared" si="0"/>
        <v>[IND CORR]</v>
      </c>
      <c r="N170" t="str">
        <f t="shared" si="1"/>
        <v>[MI]</v>
      </c>
      <c r="O170" t="s">
        <v>649</v>
      </c>
      <c r="P170" t="str">
        <f t="shared" si="4"/>
        <v>[NOMISS V3]</v>
      </c>
      <c r="Q170" t="s">
        <v>651</v>
      </c>
    </row>
    <row r="171" spans="1:17" x14ac:dyDescent="0.25">
      <c r="A171" t="s">
        <v>381</v>
      </c>
      <c r="B171" t="s">
        <v>143</v>
      </c>
      <c r="C171" t="s">
        <v>379</v>
      </c>
      <c r="D171">
        <v>1</v>
      </c>
      <c r="E171">
        <v>1</v>
      </c>
      <c r="F171" t="s">
        <v>622</v>
      </c>
      <c r="H171" t="s">
        <v>630</v>
      </c>
      <c r="I171" t="str">
        <f t="shared" si="2"/>
        <v>[3][PROC GENMOD][BINARY][IND CORR][MI][RR_glm_agestrat_strat][NOMISS V3][bghhsub_s2_v3_nr]</v>
      </c>
      <c r="J171" t="s">
        <v>643</v>
      </c>
      <c r="K171" t="s">
        <v>647</v>
      </c>
      <c r="L171" t="str">
        <f t="shared" si="3"/>
        <v>[BINARY]</v>
      </c>
      <c r="M171" t="str">
        <f t="shared" si="0"/>
        <v>[IND CORR]</v>
      </c>
      <c r="N171" t="str">
        <f t="shared" si="1"/>
        <v>[MI]</v>
      </c>
      <c r="O171" t="s">
        <v>649</v>
      </c>
      <c r="P171" t="str">
        <f t="shared" si="4"/>
        <v>[NOMISS V3]</v>
      </c>
      <c r="Q171" t="s">
        <v>651</v>
      </c>
    </row>
    <row r="172" spans="1:17" x14ac:dyDescent="0.25">
      <c r="A172" t="s">
        <v>382</v>
      </c>
      <c r="B172" t="s">
        <v>143</v>
      </c>
      <c r="C172" t="s">
        <v>376</v>
      </c>
      <c r="D172">
        <v>0</v>
      </c>
      <c r="E172">
        <v>1</v>
      </c>
      <c r="F172" t="s">
        <v>622</v>
      </c>
      <c r="G172" t="s">
        <v>441</v>
      </c>
      <c r="H172" t="s">
        <v>631</v>
      </c>
      <c r="I172" t="str">
        <f t="shared" si="2"/>
        <v>[4][PROC GENMOD][IND CORR][NO MI][RR_glm_agestrat_strat][NOMISS V3][bghhsub_s2_v3_nr]</v>
      </c>
      <c r="J172" t="s">
        <v>644</v>
      </c>
      <c r="K172" t="s">
        <v>647</v>
      </c>
      <c r="L172" t="str">
        <f t="shared" si="3"/>
        <v/>
      </c>
      <c r="M172" t="str">
        <f t="shared" si="0"/>
        <v>[IND CORR]</v>
      </c>
      <c r="N172" t="str">
        <f t="shared" si="1"/>
        <v>[NO MI]</v>
      </c>
      <c r="O172" t="s">
        <v>649</v>
      </c>
      <c r="P172" t="str">
        <f t="shared" si="4"/>
        <v>[NOMISS V3]</v>
      </c>
      <c r="Q172" t="s">
        <v>651</v>
      </c>
    </row>
    <row r="173" spans="1:17" x14ac:dyDescent="0.25">
      <c r="A173" t="s">
        <v>382</v>
      </c>
      <c r="B173" t="s">
        <v>143</v>
      </c>
      <c r="C173" t="s">
        <v>376</v>
      </c>
      <c r="D173">
        <v>0</v>
      </c>
      <c r="E173">
        <v>1</v>
      </c>
      <c r="F173" t="s">
        <v>622</v>
      </c>
      <c r="G173" t="s">
        <v>444</v>
      </c>
      <c r="H173" t="s">
        <v>632</v>
      </c>
      <c r="I173" t="str">
        <f t="shared" si="2"/>
        <v>[4][PROC GEE][IND CORR][NO MI][RR_glm_agestrat_strat][NOMISS V3][bghhsub_s2_v3_nr]</v>
      </c>
      <c r="J173" t="s">
        <v>644</v>
      </c>
      <c r="K173" t="s">
        <v>648</v>
      </c>
      <c r="L173" t="str">
        <f t="shared" si="3"/>
        <v/>
      </c>
      <c r="M173" t="str">
        <f t="shared" si="0"/>
        <v>[IND CORR]</v>
      </c>
      <c r="N173" t="str">
        <f t="shared" si="1"/>
        <v>[NO MI]</v>
      </c>
      <c r="O173" t="s">
        <v>649</v>
      </c>
      <c r="P173" t="str">
        <f t="shared" si="4"/>
        <v>[NOMISS V3]</v>
      </c>
      <c r="Q173" t="s">
        <v>651</v>
      </c>
    </row>
    <row r="174" spans="1:17" x14ac:dyDescent="0.25">
      <c r="A174" t="s">
        <v>382</v>
      </c>
      <c r="B174" t="s">
        <v>143</v>
      </c>
      <c r="C174" t="s">
        <v>379</v>
      </c>
      <c r="D174">
        <v>0</v>
      </c>
      <c r="E174">
        <v>1</v>
      </c>
      <c r="F174" t="s">
        <v>622</v>
      </c>
      <c r="G174" t="s">
        <v>441</v>
      </c>
      <c r="H174" t="s">
        <v>633</v>
      </c>
      <c r="I174" t="str">
        <f t="shared" si="2"/>
        <v>[4][PROC GENMOD][BINARY][IND CORR][NO MI][RR_glm_agestrat_strat][NOMISS V3][bghhsub_s2_v3_nr]</v>
      </c>
      <c r="J174" t="s">
        <v>644</v>
      </c>
      <c r="K174" t="s">
        <v>647</v>
      </c>
      <c r="L174" t="str">
        <f t="shared" si="3"/>
        <v>[BINARY]</v>
      </c>
      <c r="M174" t="str">
        <f t="shared" si="0"/>
        <v>[IND CORR]</v>
      </c>
      <c r="N174" t="str">
        <f t="shared" si="1"/>
        <v>[NO MI]</v>
      </c>
      <c r="O174" t="s">
        <v>649</v>
      </c>
      <c r="P174" t="str">
        <f t="shared" si="4"/>
        <v>[NOMISS V3]</v>
      </c>
      <c r="Q174" t="s">
        <v>651</v>
      </c>
    </row>
    <row r="175" spans="1:17" x14ac:dyDescent="0.25">
      <c r="A175" t="s">
        <v>382</v>
      </c>
      <c r="B175" t="s">
        <v>143</v>
      </c>
      <c r="C175" t="s">
        <v>379</v>
      </c>
      <c r="D175">
        <v>0</v>
      </c>
      <c r="E175">
        <v>1</v>
      </c>
      <c r="F175" t="s">
        <v>622</v>
      </c>
      <c r="G175" t="s">
        <v>444</v>
      </c>
      <c r="H175" t="s">
        <v>634</v>
      </c>
      <c r="I175" t="str">
        <f t="shared" si="2"/>
        <v>[4][PROC GEE][BINARY][IND CORR][NO MI][RR_glm_agestrat_strat][NOMISS V3][bghhsub_s2_v3_nr]</v>
      </c>
      <c r="J175" t="s">
        <v>644</v>
      </c>
      <c r="K175" t="s">
        <v>648</v>
      </c>
      <c r="L175" t="str">
        <f t="shared" si="3"/>
        <v>[BINARY]</v>
      </c>
      <c r="M175" t="str">
        <f t="shared" si="0"/>
        <v>[IND CORR]</v>
      </c>
      <c r="N175" t="str">
        <f t="shared" si="1"/>
        <v>[NO MI]</v>
      </c>
      <c r="O175" t="s">
        <v>649</v>
      </c>
      <c r="P175" t="str">
        <f t="shared" si="4"/>
        <v>[NOMISS V3]</v>
      </c>
      <c r="Q175" t="s">
        <v>651</v>
      </c>
    </row>
    <row r="176" spans="1:17" x14ac:dyDescent="0.25">
      <c r="A176" t="s">
        <v>383</v>
      </c>
      <c r="B176" t="s">
        <v>143</v>
      </c>
      <c r="C176" t="s">
        <v>376</v>
      </c>
      <c r="D176">
        <v>1</v>
      </c>
      <c r="E176">
        <v>2</v>
      </c>
      <c r="F176" t="s">
        <v>622</v>
      </c>
      <c r="H176" t="s">
        <v>635</v>
      </c>
      <c r="I176" t="str">
        <f t="shared" si="2"/>
        <v>[5][PROC GENMOD][IND CORR][MI][RR_glm_agestrat_strat][bghhsub_s2_nr]</v>
      </c>
      <c r="J176" t="s">
        <v>645</v>
      </c>
      <c r="K176" t="s">
        <v>647</v>
      </c>
      <c r="L176" t="str">
        <f t="shared" si="3"/>
        <v/>
      </c>
      <c r="M176" t="str">
        <f t="shared" si="0"/>
        <v>[IND CORR]</v>
      </c>
      <c r="N176" t="str">
        <f t="shared" si="1"/>
        <v>[MI]</v>
      </c>
      <c r="O176" t="s">
        <v>649</v>
      </c>
      <c r="P176" t="str">
        <f t="shared" si="4"/>
        <v/>
      </c>
      <c r="Q176" t="s">
        <v>650</v>
      </c>
    </row>
    <row r="177" spans="1:17" x14ac:dyDescent="0.25">
      <c r="A177" t="s">
        <v>383</v>
      </c>
      <c r="B177" t="s">
        <v>143</v>
      </c>
      <c r="C177" t="s">
        <v>379</v>
      </c>
      <c r="D177">
        <v>1</v>
      </c>
      <c r="E177">
        <v>2</v>
      </c>
      <c r="F177" t="s">
        <v>622</v>
      </c>
      <c r="H177" t="s">
        <v>636</v>
      </c>
      <c r="I177" t="str">
        <f t="shared" si="2"/>
        <v>[5][PROC GENMOD][BINARY][IND CORR][MI][RR_glm_agestrat_strat][bghhsub_s2_nr]</v>
      </c>
      <c r="J177" t="s">
        <v>645</v>
      </c>
      <c r="K177" t="s">
        <v>647</v>
      </c>
      <c r="L177" t="str">
        <f t="shared" si="3"/>
        <v>[BINARY]</v>
      </c>
      <c r="M177" t="str">
        <f t="shared" si="0"/>
        <v>[IND CORR]</v>
      </c>
      <c r="N177" t="str">
        <f t="shared" si="1"/>
        <v>[MI]</v>
      </c>
      <c r="O177" t="s">
        <v>649</v>
      </c>
      <c r="P177" t="str">
        <f t="shared" si="4"/>
        <v/>
      </c>
      <c r="Q177" t="s">
        <v>650</v>
      </c>
    </row>
    <row r="178" spans="1:17" x14ac:dyDescent="0.25">
      <c r="A178" t="s">
        <v>384</v>
      </c>
      <c r="B178" t="s">
        <v>143</v>
      </c>
      <c r="C178" t="s">
        <v>376</v>
      </c>
      <c r="D178">
        <v>0</v>
      </c>
      <c r="E178">
        <v>2</v>
      </c>
      <c r="F178" t="s">
        <v>622</v>
      </c>
      <c r="G178" t="s">
        <v>441</v>
      </c>
      <c r="H178" t="s">
        <v>637</v>
      </c>
      <c r="I178" t="str">
        <f t="shared" si="2"/>
        <v>[6][PROC GENMOD][IND CORR][NO MI][RR_glm_agestrat_strat][bghhsub_s2_nr]</v>
      </c>
      <c r="J178" t="s">
        <v>646</v>
      </c>
      <c r="K178" t="s">
        <v>647</v>
      </c>
      <c r="L178" t="str">
        <f t="shared" si="3"/>
        <v/>
      </c>
      <c r="M178" t="str">
        <f t="shared" si="0"/>
        <v>[IND CORR]</v>
      </c>
      <c r="N178" t="str">
        <f t="shared" si="1"/>
        <v>[NO MI]</v>
      </c>
      <c r="O178" t="s">
        <v>649</v>
      </c>
      <c r="P178" t="str">
        <f t="shared" si="4"/>
        <v/>
      </c>
      <c r="Q178" t="s">
        <v>650</v>
      </c>
    </row>
    <row r="179" spans="1:17" x14ac:dyDescent="0.25">
      <c r="A179" t="s">
        <v>384</v>
      </c>
      <c r="B179" t="s">
        <v>143</v>
      </c>
      <c r="C179" t="s">
        <v>376</v>
      </c>
      <c r="D179">
        <v>0</v>
      </c>
      <c r="E179">
        <v>2</v>
      </c>
      <c r="F179" t="s">
        <v>622</v>
      </c>
      <c r="G179" t="s">
        <v>444</v>
      </c>
      <c r="H179" t="s">
        <v>638</v>
      </c>
      <c r="I179" t="str">
        <f t="shared" si="2"/>
        <v>[6][PROC GEE][IND CORR][NO MI][RR_glm_agestrat_strat][bghhsub_s2_nr]</v>
      </c>
      <c r="J179" t="s">
        <v>646</v>
      </c>
      <c r="K179" t="s">
        <v>648</v>
      </c>
      <c r="L179" t="str">
        <f t="shared" si="3"/>
        <v/>
      </c>
      <c r="M179" t="str">
        <f t="shared" si="0"/>
        <v>[IND CORR]</v>
      </c>
      <c r="N179" t="str">
        <f t="shared" si="1"/>
        <v>[NO MI]</v>
      </c>
      <c r="O179" t="s">
        <v>649</v>
      </c>
      <c r="P179" t="str">
        <f t="shared" si="4"/>
        <v/>
      </c>
      <c r="Q179" t="s">
        <v>650</v>
      </c>
    </row>
    <row r="180" spans="1:17" x14ac:dyDescent="0.25">
      <c r="A180" t="s">
        <v>384</v>
      </c>
      <c r="B180" t="s">
        <v>143</v>
      </c>
      <c r="C180" t="s">
        <v>379</v>
      </c>
      <c r="D180">
        <v>0</v>
      </c>
      <c r="E180">
        <v>2</v>
      </c>
      <c r="F180" t="s">
        <v>622</v>
      </c>
      <c r="G180" t="s">
        <v>441</v>
      </c>
      <c r="H180" t="s">
        <v>639</v>
      </c>
      <c r="I180" t="str">
        <f t="shared" si="2"/>
        <v>[6][PROC GENMOD][BINARY][IND CORR][NO MI][RR_glm_agestrat_strat][bghhsub_s2_nr]</v>
      </c>
      <c r="J180" t="s">
        <v>646</v>
      </c>
      <c r="K180" t="s">
        <v>647</v>
      </c>
      <c r="L180" t="str">
        <f t="shared" si="3"/>
        <v>[BINARY]</v>
      </c>
      <c r="M180" t="str">
        <f t="shared" si="0"/>
        <v>[IND CORR]</v>
      </c>
      <c r="N180" t="str">
        <f t="shared" si="1"/>
        <v>[NO MI]</v>
      </c>
      <c r="O180" t="s">
        <v>649</v>
      </c>
      <c r="P180" t="str">
        <f t="shared" si="4"/>
        <v/>
      </c>
      <c r="Q180" t="s">
        <v>650</v>
      </c>
    </row>
    <row r="181" spans="1:17" x14ac:dyDescent="0.25">
      <c r="A181" t="s">
        <v>384</v>
      </c>
      <c r="B181" t="s">
        <v>143</v>
      </c>
      <c r="C181" t="s">
        <v>379</v>
      </c>
      <c r="D181">
        <v>0</v>
      </c>
      <c r="E181">
        <v>2</v>
      </c>
      <c r="F181" t="s">
        <v>622</v>
      </c>
      <c r="G181" t="s">
        <v>444</v>
      </c>
      <c r="H181" t="s">
        <v>640</v>
      </c>
      <c r="I181" t="str">
        <f t="shared" si="2"/>
        <v>[6][PROC GEE][BINARY][IND CORR][NO MI][RR_glm_agestrat_strat][bghhsub_s2_nr]</v>
      </c>
      <c r="J181" t="s">
        <v>646</v>
      </c>
      <c r="K181" t="s">
        <v>648</v>
      </c>
      <c r="L181" t="str">
        <f t="shared" si="3"/>
        <v>[BINARY]</v>
      </c>
      <c r="M181" t="str">
        <f t="shared" si="0"/>
        <v>[IND CORR]</v>
      </c>
      <c r="N181" t="str">
        <f t="shared" si="1"/>
        <v>[NO MI]</v>
      </c>
      <c r="O181" t="s">
        <v>649</v>
      </c>
      <c r="P181" t="str">
        <f t="shared" si="4"/>
        <v/>
      </c>
      <c r="Q181" t="s">
        <v>650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4C82-D34A-4EAB-A6C8-D36B94143341}">
  <dimension ref="A1:X841"/>
  <sheetViews>
    <sheetView tabSelected="1" workbookViewId="0">
      <selection activeCell="Q21" sqref="Q21"/>
    </sheetView>
  </sheetViews>
  <sheetFormatPr defaultRowHeight="15" x14ac:dyDescent="0.25"/>
  <cols>
    <col min="6" max="6" width="17.5703125" customWidth="1"/>
  </cols>
  <sheetData>
    <row r="1" spans="1:14" x14ac:dyDescent="0.25">
      <c r="A1" t="s">
        <v>338</v>
      </c>
      <c r="B1" t="s">
        <v>432</v>
      </c>
      <c r="C1" t="s">
        <v>35</v>
      </c>
      <c r="D1" t="s">
        <v>182</v>
      </c>
      <c r="E1" t="s">
        <v>183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142</v>
      </c>
      <c r="B2" t="s">
        <v>160</v>
      </c>
      <c r="C2" t="s">
        <v>12</v>
      </c>
      <c r="D2">
        <v>1</v>
      </c>
      <c r="E2">
        <v>1000</v>
      </c>
      <c r="F2">
        <v>106.8125</v>
      </c>
      <c r="G2">
        <v>107.10513899999999</v>
      </c>
      <c r="H2">
        <v>0.29268223290000001</v>
      </c>
      <c r="I2">
        <v>1.393985</v>
      </c>
      <c r="J2">
        <v>1.400711</v>
      </c>
      <c r="K2">
        <v>4.8247059999999998E-3</v>
      </c>
      <c r="L2">
        <v>2.7401508000000001E-3</v>
      </c>
      <c r="M2">
        <v>0.94399999999999995</v>
      </c>
      <c r="N2">
        <v>0</v>
      </c>
    </row>
    <row r="3" spans="1:14" x14ac:dyDescent="0.25">
      <c r="A3" t="s">
        <v>142</v>
      </c>
      <c r="B3" t="s">
        <v>160</v>
      </c>
      <c r="C3" t="s">
        <v>13</v>
      </c>
      <c r="D3">
        <v>1</v>
      </c>
      <c r="E3">
        <v>1000</v>
      </c>
      <c r="F3">
        <v>-4.7992999999999997</v>
      </c>
      <c r="G3">
        <v>-4.781034</v>
      </c>
      <c r="H3">
        <v>1.8247554700000002E-2</v>
      </c>
      <c r="I3">
        <v>0.54247500000000004</v>
      </c>
      <c r="J3">
        <v>0.56538699999999997</v>
      </c>
      <c r="K3">
        <v>4.2237350700000002E-2</v>
      </c>
      <c r="L3">
        <v>-3.802143E-3</v>
      </c>
      <c r="M3">
        <v>0.96099999999999997</v>
      </c>
      <c r="N3">
        <v>0</v>
      </c>
    </row>
    <row r="4" spans="1:14" x14ac:dyDescent="0.25">
      <c r="A4" t="s">
        <v>142</v>
      </c>
      <c r="B4" t="s">
        <v>160</v>
      </c>
      <c r="C4" t="s">
        <v>14</v>
      </c>
      <c r="D4">
        <v>1</v>
      </c>
      <c r="E4">
        <v>1000</v>
      </c>
      <c r="F4">
        <v>8.7021999999999995</v>
      </c>
      <c r="G4">
        <v>8.7042830000000002</v>
      </c>
      <c r="H4">
        <v>2.0758462000000002E-3</v>
      </c>
      <c r="I4">
        <v>0.34302899999999997</v>
      </c>
      <c r="J4">
        <v>0.34367399999999998</v>
      </c>
      <c r="K4">
        <v>1.880472E-3</v>
      </c>
      <c r="L4">
        <v>2.3854249999999999E-4</v>
      </c>
      <c r="M4">
        <v>0.95</v>
      </c>
      <c r="N4">
        <v>0</v>
      </c>
    </row>
    <row r="5" spans="1:14" x14ac:dyDescent="0.25">
      <c r="A5" t="s">
        <v>142</v>
      </c>
      <c r="B5" t="s">
        <v>160</v>
      </c>
      <c r="C5" t="s">
        <v>15</v>
      </c>
      <c r="D5">
        <v>1</v>
      </c>
      <c r="E5">
        <v>1000</v>
      </c>
      <c r="F5">
        <v>-1.5806</v>
      </c>
      <c r="G5">
        <v>-1.6776580000000001</v>
      </c>
      <c r="H5">
        <v>-9.7032126999999996E-2</v>
      </c>
      <c r="I5">
        <v>0.35040900000000003</v>
      </c>
      <c r="J5">
        <v>0.34932000000000002</v>
      </c>
      <c r="K5">
        <v>-3.1071779999999999E-3</v>
      </c>
      <c r="L5">
        <v>6.1388419899999998E-2</v>
      </c>
      <c r="M5">
        <v>0.93799999999999994</v>
      </c>
      <c r="N5">
        <v>0</v>
      </c>
    </row>
    <row r="6" spans="1:14" x14ac:dyDescent="0.25">
      <c r="A6" t="s">
        <v>142</v>
      </c>
      <c r="B6" t="s">
        <v>160</v>
      </c>
      <c r="C6" t="s">
        <v>16</v>
      </c>
      <c r="D6">
        <v>1</v>
      </c>
      <c r="E6">
        <v>1000</v>
      </c>
      <c r="F6">
        <v>-7.7763999999999998</v>
      </c>
      <c r="G6">
        <v>-7.8318250000000003</v>
      </c>
      <c r="H6">
        <v>-5.5396253999999999E-2</v>
      </c>
      <c r="I6">
        <v>0.410945</v>
      </c>
      <c r="J6">
        <v>0.42594500000000002</v>
      </c>
      <c r="K6">
        <v>3.6501604E-2</v>
      </c>
      <c r="L6">
        <v>7.1236108999999997E-3</v>
      </c>
      <c r="M6">
        <v>0.95399999999999996</v>
      </c>
      <c r="N6">
        <v>0</v>
      </c>
    </row>
    <row r="7" spans="1:14" x14ac:dyDescent="0.25">
      <c r="A7" t="s">
        <v>142</v>
      </c>
      <c r="B7" t="s">
        <v>160</v>
      </c>
      <c r="C7" t="s">
        <v>17</v>
      </c>
      <c r="D7">
        <v>1</v>
      </c>
      <c r="E7">
        <v>1000</v>
      </c>
      <c r="F7">
        <v>5.8643999999999998</v>
      </c>
      <c r="G7">
        <v>5.8518210000000002</v>
      </c>
      <c r="H7">
        <v>-1.2589649E-2</v>
      </c>
      <c r="I7">
        <v>2.1340999999999999E-2</v>
      </c>
      <c r="J7">
        <v>2.2537000000000001E-2</v>
      </c>
      <c r="K7">
        <v>5.6024711099999999E-2</v>
      </c>
      <c r="L7">
        <v>-2.1467880000000002E-3</v>
      </c>
      <c r="M7">
        <v>0.92600000000000005</v>
      </c>
      <c r="N7">
        <v>0</v>
      </c>
    </row>
    <row r="8" spans="1:14" x14ac:dyDescent="0.25">
      <c r="A8" t="s">
        <v>142</v>
      </c>
      <c r="B8" t="s">
        <v>160</v>
      </c>
      <c r="C8" t="s">
        <v>18</v>
      </c>
      <c r="D8">
        <v>1</v>
      </c>
      <c r="E8">
        <v>1000</v>
      </c>
      <c r="F8">
        <v>3.2099999999999997E-2</v>
      </c>
      <c r="G8">
        <v>3.8078000000000001E-2</v>
      </c>
      <c r="H8">
        <v>5.9693899000000002E-3</v>
      </c>
      <c r="I8">
        <v>1.3712999999999999E-2</v>
      </c>
      <c r="J8">
        <v>1.5789999999999998E-2</v>
      </c>
      <c r="K8">
        <v>0.151432024</v>
      </c>
      <c r="L8">
        <v>0.18591369730000001</v>
      </c>
      <c r="M8">
        <v>0.96399999999999997</v>
      </c>
      <c r="N8">
        <v>0</v>
      </c>
    </row>
    <row r="9" spans="1:14" x14ac:dyDescent="0.25">
      <c r="A9" t="s">
        <v>142</v>
      </c>
      <c r="B9" t="s">
        <v>161</v>
      </c>
      <c r="C9" t="s">
        <v>12</v>
      </c>
      <c r="D9">
        <v>1</v>
      </c>
      <c r="E9">
        <v>1000</v>
      </c>
      <c r="F9">
        <v>106.8125</v>
      </c>
      <c r="G9">
        <v>107.156908</v>
      </c>
      <c r="H9">
        <v>0.34445169819999999</v>
      </c>
      <c r="I9">
        <v>1.393354</v>
      </c>
      <c r="J9">
        <v>1.397678</v>
      </c>
      <c r="K9">
        <v>3.1036480000000001E-3</v>
      </c>
      <c r="L9">
        <v>3.224827E-3</v>
      </c>
      <c r="M9">
        <v>0.94199999999999995</v>
      </c>
      <c r="N9">
        <v>0</v>
      </c>
    </row>
    <row r="10" spans="1:14" x14ac:dyDescent="0.25">
      <c r="A10" t="s">
        <v>142</v>
      </c>
      <c r="B10" t="s">
        <v>161</v>
      </c>
      <c r="C10" t="s">
        <v>13</v>
      </c>
      <c r="D10">
        <v>1</v>
      </c>
      <c r="E10">
        <v>1000</v>
      </c>
      <c r="F10">
        <v>-4.7992999999999997</v>
      </c>
      <c r="G10">
        <v>-4.7019270000000004</v>
      </c>
      <c r="H10">
        <v>9.7355070500000002E-2</v>
      </c>
      <c r="I10">
        <v>0.54219399999999995</v>
      </c>
      <c r="J10">
        <v>0.56430899999999995</v>
      </c>
      <c r="K10">
        <v>4.0786964500000002E-2</v>
      </c>
      <c r="L10">
        <v>-2.0285340999999998E-2</v>
      </c>
      <c r="M10">
        <v>0.95499999999999996</v>
      </c>
      <c r="N10">
        <v>0</v>
      </c>
    </row>
    <row r="11" spans="1:14" x14ac:dyDescent="0.25">
      <c r="A11" t="s">
        <v>142</v>
      </c>
      <c r="B11" t="s">
        <v>161</v>
      </c>
      <c r="C11" t="s">
        <v>14</v>
      </c>
      <c r="D11">
        <v>1</v>
      </c>
      <c r="E11">
        <v>1000</v>
      </c>
      <c r="F11">
        <v>8.7021999999999995</v>
      </c>
      <c r="G11">
        <v>8.6989680000000007</v>
      </c>
      <c r="H11">
        <v>-3.2393159999999999E-3</v>
      </c>
      <c r="I11">
        <v>0.34190399999999999</v>
      </c>
      <c r="J11">
        <v>0.34335300000000002</v>
      </c>
      <c r="K11">
        <v>4.2391175000000003E-3</v>
      </c>
      <c r="L11">
        <v>-3.7224099999999999E-4</v>
      </c>
      <c r="M11">
        <v>0.94799999999999995</v>
      </c>
      <c r="N11">
        <v>0</v>
      </c>
    </row>
    <row r="12" spans="1:14" x14ac:dyDescent="0.25">
      <c r="A12" t="s">
        <v>142</v>
      </c>
      <c r="B12" t="s">
        <v>161</v>
      </c>
      <c r="C12" t="s">
        <v>15</v>
      </c>
      <c r="D12">
        <v>1</v>
      </c>
      <c r="E12">
        <v>1000</v>
      </c>
      <c r="F12">
        <v>-1.5806</v>
      </c>
      <c r="G12">
        <v>-1.730137</v>
      </c>
      <c r="H12">
        <v>-0.149511219</v>
      </c>
      <c r="I12">
        <v>0.34936800000000001</v>
      </c>
      <c r="J12">
        <v>0.34859299999999999</v>
      </c>
      <c r="K12">
        <v>-2.2171629999999999E-3</v>
      </c>
      <c r="L12">
        <v>9.4589882299999997E-2</v>
      </c>
      <c r="M12">
        <v>0.92600000000000005</v>
      </c>
      <c r="N12">
        <v>0</v>
      </c>
    </row>
    <row r="13" spans="1:14" x14ac:dyDescent="0.25">
      <c r="A13" t="s">
        <v>142</v>
      </c>
      <c r="B13" t="s">
        <v>161</v>
      </c>
      <c r="C13" t="s">
        <v>16</v>
      </c>
      <c r="D13">
        <v>1</v>
      </c>
      <c r="E13">
        <v>1000</v>
      </c>
      <c r="F13">
        <v>-7.7763999999999998</v>
      </c>
      <c r="G13">
        <v>-7.8474469999999998</v>
      </c>
      <c r="H13">
        <v>-7.1018275000000006E-2</v>
      </c>
      <c r="I13">
        <v>0.40961500000000001</v>
      </c>
      <c r="J13">
        <v>0.42532300000000001</v>
      </c>
      <c r="K13">
        <v>3.83486122E-2</v>
      </c>
      <c r="L13">
        <v>9.1325047999999999E-3</v>
      </c>
      <c r="M13">
        <v>0.95399999999999996</v>
      </c>
      <c r="N13">
        <v>0</v>
      </c>
    </row>
    <row r="14" spans="1:14" x14ac:dyDescent="0.25">
      <c r="A14" t="s">
        <v>142</v>
      </c>
      <c r="B14" t="s">
        <v>161</v>
      </c>
      <c r="C14" t="s">
        <v>17</v>
      </c>
      <c r="D14">
        <v>1</v>
      </c>
      <c r="E14">
        <v>1000</v>
      </c>
      <c r="F14">
        <v>5.8643999999999998</v>
      </c>
      <c r="G14">
        <v>5.8492119999999996</v>
      </c>
      <c r="H14">
        <v>-1.5198949E-2</v>
      </c>
      <c r="I14">
        <v>2.1322000000000001E-2</v>
      </c>
      <c r="J14">
        <v>2.2303E-2</v>
      </c>
      <c r="K14">
        <v>4.5985089600000001E-2</v>
      </c>
      <c r="L14">
        <v>-2.5917259999999999E-3</v>
      </c>
      <c r="M14">
        <v>0.90700000000000003</v>
      </c>
      <c r="N14">
        <v>0</v>
      </c>
    </row>
    <row r="15" spans="1:14" x14ac:dyDescent="0.25">
      <c r="A15" t="s">
        <v>142</v>
      </c>
      <c r="B15" t="s">
        <v>161</v>
      </c>
      <c r="C15" t="s">
        <v>18</v>
      </c>
      <c r="D15">
        <v>1</v>
      </c>
      <c r="E15">
        <v>1000</v>
      </c>
      <c r="F15">
        <v>3.2099999999999997E-2</v>
      </c>
      <c r="G15">
        <v>4.1668999999999998E-2</v>
      </c>
      <c r="H15">
        <v>9.5601869999999995E-3</v>
      </c>
      <c r="I15">
        <v>1.3441E-2</v>
      </c>
      <c r="J15">
        <v>1.5395000000000001E-2</v>
      </c>
      <c r="K15">
        <v>0.14537334609999999</v>
      </c>
      <c r="L15">
        <v>0.29774729649999998</v>
      </c>
      <c r="M15">
        <v>0.93600000000000005</v>
      </c>
      <c r="N15">
        <v>0</v>
      </c>
    </row>
    <row r="16" spans="1:14" x14ac:dyDescent="0.25">
      <c r="A16" t="s">
        <v>142</v>
      </c>
      <c r="B16" t="s">
        <v>339</v>
      </c>
      <c r="C16" t="s">
        <v>12</v>
      </c>
      <c r="D16">
        <v>1</v>
      </c>
      <c r="E16">
        <v>1000</v>
      </c>
      <c r="F16">
        <v>106.8125</v>
      </c>
      <c r="G16">
        <v>107.238719</v>
      </c>
      <c r="H16">
        <v>0.42626270030000002</v>
      </c>
      <c r="I16">
        <v>1.398466</v>
      </c>
      <c r="J16">
        <v>1.393958</v>
      </c>
      <c r="K16">
        <v>-3.222885E-3</v>
      </c>
      <c r="L16">
        <v>3.9907583000000002E-3</v>
      </c>
      <c r="M16">
        <v>0.93899999999999995</v>
      </c>
      <c r="N16">
        <v>0</v>
      </c>
    </row>
    <row r="17" spans="1:14" x14ac:dyDescent="0.25">
      <c r="A17" t="s">
        <v>142</v>
      </c>
      <c r="B17" t="s">
        <v>339</v>
      </c>
      <c r="C17" t="s">
        <v>13</v>
      </c>
      <c r="D17">
        <v>1</v>
      </c>
      <c r="E17">
        <v>1000</v>
      </c>
      <c r="F17">
        <v>-4.7992999999999997</v>
      </c>
      <c r="G17">
        <v>-4.7543870000000004</v>
      </c>
      <c r="H17">
        <v>4.4894695200000001E-2</v>
      </c>
      <c r="I17">
        <v>0.56942000000000004</v>
      </c>
      <c r="J17">
        <v>0.56364499999999995</v>
      </c>
      <c r="K17">
        <v>-1.0142178999999999E-2</v>
      </c>
      <c r="L17">
        <v>-9.3544609999999997E-3</v>
      </c>
      <c r="M17">
        <v>0.94699999999999995</v>
      </c>
      <c r="N17">
        <v>0</v>
      </c>
    </row>
    <row r="18" spans="1:14" x14ac:dyDescent="0.25">
      <c r="A18" t="s">
        <v>142</v>
      </c>
      <c r="B18" t="s">
        <v>339</v>
      </c>
      <c r="C18" t="s">
        <v>14</v>
      </c>
      <c r="D18">
        <v>1</v>
      </c>
      <c r="E18">
        <v>1000</v>
      </c>
      <c r="F18">
        <v>8.7021999999999995</v>
      </c>
      <c r="G18">
        <v>8.6990970000000001</v>
      </c>
      <c r="H18">
        <v>-3.1100339999999998E-3</v>
      </c>
      <c r="I18">
        <v>0.35533900000000002</v>
      </c>
      <c r="J18">
        <v>0.34327299999999999</v>
      </c>
      <c r="K18">
        <v>-3.3957925999999999E-2</v>
      </c>
      <c r="L18">
        <v>-3.5738499999999999E-4</v>
      </c>
      <c r="M18">
        <v>0.94799999999999995</v>
      </c>
      <c r="N18">
        <v>0</v>
      </c>
    </row>
    <row r="19" spans="1:14" x14ac:dyDescent="0.25">
      <c r="A19" t="s">
        <v>142</v>
      </c>
      <c r="B19" t="s">
        <v>339</v>
      </c>
      <c r="C19" t="s">
        <v>15</v>
      </c>
      <c r="D19">
        <v>1</v>
      </c>
      <c r="E19">
        <v>1000</v>
      </c>
      <c r="F19">
        <v>-1.5806</v>
      </c>
      <c r="G19">
        <v>-1.7393860000000001</v>
      </c>
      <c r="H19">
        <v>-0.15876015800000001</v>
      </c>
      <c r="I19">
        <v>0.34718500000000002</v>
      </c>
      <c r="J19">
        <v>0.34879900000000003</v>
      </c>
      <c r="K19">
        <v>4.6480317999999998E-3</v>
      </c>
      <c r="L19">
        <v>0.10044132259999999</v>
      </c>
      <c r="M19">
        <v>0.93</v>
      </c>
      <c r="N19">
        <v>0</v>
      </c>
    </row>
    <row r="20" spans="1:14" x14ac:dyDescent="0.25">
      <c r="A20" t="s">
        <v>142</v>
      </c>
      <c r="B20" t="s">
        <v>339</v>
      </c>
      <c r="C20" t="s">
        <v>16</v>
      </c>
      <c r="D20">
        <v>1</v>
      </c>
      <c r="E20">
        <v>1000</v>
      </c>
      <c r="F20">
        <v>-7.7763999999999998</v>
      </c>
      <c r="G20">
        <v>-7.8230230000000001</v>
      </c>
      <c r="H20">
        <v>-4.6593919999999997E-2</v>
      </c>
      <c r="I20">
        <v>0.41845900000000003</v>
      </c>
      <c r="J20">
        <v>0.42530499999999999</v>
      </c>
      <c r="K20">
        <v>1.63609641E-2</v>
      </c>
      <c r="L20">
        <v>5.9916858999999999E-3</v>
      </c>
      <c r="M20">
        <v>0.95</v>
      </c>
      <c r="N20">
        <v>0</v>
      </c>
    </row>
    <row r="21" spans="1:14" x14ac:dyDescent="0.25">
      <c r="A21" t="s">
        <v>142</v>
      </c>
      <c r="B21" t="s">
        <v>339</v>
      </c>
      <c r="C21" t="s">
        <v>17</v>
      </c>
      <c r="D21">
        <v>1</v>
      </c>
      <c r="E21">
        <v>1000</v>
      </c>
      <c r="F21">
        <v>5.8643999999999998</v>
      </c>
      <c r="G21">
        <v>5.8560559999999997</v>
      </c>
      <c r="H21">
        <v>-8.3547420000000001E-3</v>
      </c>
      <c r="I21">
        <v>2.0722000000000001E-2</v>
      </c>
      <c r="J21">
        <v>2.1829999999999999E-2</v>
      </c>
      <c r="K21">
        <v>5.3460871100000001E-2</v>
      </c>
      <c r="L21">
        <v>-1.424652E-3</v>
      </c>
      <c r="M21">
        <v>0.94799999999999995</v>
      </c>
      <c r="N21">
        <v>0</v>
      </c>
    </row>
    <row r="22" spans="1:14" x14ac:dyDescent="0.25">
      <c r="A22" t="s">
        <v>142</v>
      </c>
      <c r="B22" t="s">
        <v>339</v>
      </c>
      <c r="C22" t="s">
        <v>18</v>
      </c>
      <c r="D22">
        <v>1</v>
      </c>
      <c r="E22">
        <v>1000</v>
      </c>
      <c r="F22">
        <v>3.2099999999999997E-2</v>
      </c>
      <c r="G22">
        <v>4.1244999999999997E-2</v>
      </c>
      <c r="H22">
        <v>9.1364086999999993E-3</v>
      </c>
      <c r="I22">
        <v>1.3598000000000001E-2</v>
      </c>
      <c r="J22">
        <v>1.5037999999999999E-2</v>
      </c>
      <c r="K22">
        <v>0.1058475586</v>
      </c>
      <c r="L22">
        <v>0.28454893190000002</v>
      </c>
      <c r="M22">
        <v>0.93400000000000005</v>
      </c>
      <c r="N22">
        <v>0</v>
      </c>
    </row>
    <row r="23" spans="1:14" x14ac:dyDescent="0.25">
      <c r="A23" t="s">
        <v>142</v>
      </c>
      <c r="B23" t="s">
        <v>340</v>
      </c>
      <c r="C23" t="s">
        <v>12</v>
      </c>
      <c r="D23">
        <v>1</v>
      </c>
      <c r="E23">
        <v>1000</v>
      </c>
      <c r="F23">
        <v>106.8125</v>
      </c>
      <c r="G23">
        <v>107.24213899999999</v>
      </c>
      <c r="H23">
        <v>0.42968235179999997</v>
      </c>
      <c r="I23">
        <v>1.397017</v>
      </c>
      <c r="J23">
        <v>1.393392</v>
      </c>
      <c r="K23">
        <v>-2.5950890000000001E-3</v>
      </c>
      <c r="L23">
        <v>4.0227737999999997E-3</v>
      </c>
      <c r="M23">
        <v>0.93799999999999994</v>
      </c>
      <c r="N23">
        <v>0</v>
      </c>
    </row>
    <row r="24" spans="1:14" x14ac:dyDescent="0.25">
      <c r="A24" t="s">
        <v>142</v>
      </c>
      <c r="B24" t="s">
        <v>340</v>
      </c>
      <c r="C24" t="s">
        <v>13</v>
      </c>
      <c r="D24">
        <v>1</v>
      </c>
      <c r="E24">
        <v>1000</v>
      </c>
      <c r="F24">
        <v>-4.7992999999999997</v>
      </c>
      <c r="G24">
        <v>-4.7528519999999999</v>
      </c>
      <c r="H24">
        <v>4.6429729199999999E-2</v>
      </c>
      <c r="I24">
        <v>0.56893700000000003</v>
      </c>
      <c r="J24">
        <v>0.56340500000000004</v>
      </c>
      <c r="K24">
        <v>-9.7236300000000005E-3</v>
      </c>
      <c r="L24">
        <v>-9.6743079999999995E-3</v>
      </c>
      <c r="M24">
        <v>0.94799999999999995</v>
      </c>
      <c r="N24">
        <v>0</v>
      </c>
    </row>
    <row r="25" spans="1:14" x14ac:dyDescent="0.25">
      <c r="A25" t="s">
        <v>142</v>
      </c>
      <c r="B25" t="s">
        <v>340</v>
      </c>
      <c r="C25" t="s">
        <v>14</v>
      </c>
      <c r="D25">
        <v>1</v>
      </c>
      <c r="E25">
        <v>1000</v>
      </c>
      <c r="F25">
        <v>8.7021999999999995</v>
      </c>
      <c r="G25">
        <v>8.6991110000000003</v>
      </c>
      <c r="H25">
        <v>-3.096616E-3</v>
      </c>
      <c r="I25">
        <v>0.35530600000000001</v>
      </c>
      <c r="J25">
        <v>0.34326099999999998</v>
      </c>
      <c r="K25">
        <v>-3.3902441999999998E-2</v>
      </c>
      <c r="L25">
        <v>-3.55843E-4</v>
      </c>
      <c r="M25">
        <v>0.94799999999999995</v>
      </c>
      <c r="N25">
        <v>0</v>
      </c>
    </row>
    <row r="26" spans="1:14" x14ac:dyDescent="0.25">
      <c r="A26" t="s">
        <v>142</v>
      </c>
      <c r="B26" t="s">
        <v>340</v>
      </c>
      <c r="C26" t="s">
        <v>15</v>
      </c>
      <c r="D26">
        <v>1</v>
      </c>
      <c r="E26">
        <v>1000</v>
      </c>
      <c r="F26">
        <v>-1.5806</v>
      </c>
      <c r="G26">
        <v>-1.7395240000000001</v>
      </c>
      <c r="H26">
        <v>-0.158897657</v>
      </c>
      <c r="I26">
        <v>0.34626499999999999</v>
      </c>
      <c r="J26">
        <v>0.348466</v>
      </c>
      <c r="K26">
        <v>6.3552210999999999E-3</v>
      </c>
      <c r="L26">
        <v>0.1005283132</v>
      </c>
      <c r="M26">
        <v>0.93100000000000005</v>
      </c>
      <c r="N26">
        <v>0</v>
      </c>
    </row>
    <row r="27" spans="1:14" x14ac:dyDescent="0.25">
      <c r="A27" t="s">
        <v>142</v>
      </c>
      <c r="B27" t="s">
        <v>340</v>
      </c>
      <c r="C27" t="s">
        <v>16</v>
      </c>
      <c r="D27">
        <v>1</v>
      </c>
      <c r="E27">
        <v>1000</v>
      </c>
      <c r="F27">
        <v>-7.7763999999999998</v>
      </c>
      <c r="G27">
        <v>-7.8231450000000002</v>
      </c>
      <c r="H27">
        <v>-4.6716462E-2</v>
      </c>
      <c r="I27">
        <v>0.41842400000000002</v>
      </c>
      <c r="J27">
        <v>0.42527700000000002</v>
      </c>
      <c r="K27">
        <v>1.6378560399999999E-2</v>
      </c>
      <c r="L27">
        <v>6.0074439999999998E-3</v>
      </c>
      <c r="M27">
        <v>0.94899999999999995</v>
      </c>
      <c r="N27">
        <v>0</v>
      </c>
    </row>
    <row r="28" spans="1:14" x14ac:dyDescent="0.25">
      <c r="A28" t="s">
        <v>142</v>
      </c>
      <c r="B28" t="s">
        <v>340</v>
      </c>
      <c r="C28" t="s">
        <v>17</v>
      </c>
      <c r="D28">
        <v>1</v>
      </c>
      <c r="E28">
        <v>1000</v>
      </c>
      <c r="F28">
        <v>5.8643999999999998</v>
      </c>
      <c r="G28">
        <v>5.8562589999999997</v>
      </c>
      <c r="H28">
        <v>-8.1520929999999991E-3</v>
      </c>
      <c r="I28">
        <v>2.0716999999999999E-2</v>
      </c>
      <c r="J28">
        <v>2.1791000000000001E-2</v>
      </c>
      <c r="K28">
        <v>5.1848548699999997E-2</v>
      </c>
      <c r="L28">
        <v>-1.390096E-3</v>
      </c>
      <c r="M28">
        <v>0.94899999999999995</v>
      </c>
      <c r="N28">
        <v>0</v>
      </c>
    </row>
    <row r="29" spans="1:14" x14ac:dyDescent="0.25">
      <c r="A29" t="s">
        <v>142</v>
      </c>
      <c r="B29" t="s">
        <v>340</v>
      </c>
      <c r="C29" t="s">
        <v>18</v>
      </c>
      <c r="D29">
        <v>1</v>
      </c>
      <c r="E29">
        <v>1000</v>
      </c>
      <c r="F29">
        <v>3.2099999999999997E-2</v>
      </c>
      <c r="G29">
        <v>4.1117000000000001E-2</v>
      </c>
      <c r="H29">
        <v>9.0084679000000008E-3</v>
      </c>
      <c r="I29">
        <v>1.3587999999999999E-2</v>
      </c>
      <c r="J29">
        <v>1.4987E-2</v>
      </c>
      <c r="K29">
        <v>0.1029153432</v>
      </c>
      <c r="L29">
        <v>0.28056427810000001</v>
      </c>
      <c r="M29">
        <v>0.93400000000000005</v>
      </c>
      <c r="N29">
        <v>0</v>
      </c>
    </row>
    <row r="30" spans="1:14" x14ac:dyDescent="0.25">
      <c r="A30" t="s">
        <v>142</v>
      </c>
      <c r="B30" t="s">
        <v>341</v>
      </c>
      <c r="C30" t="s">
        <v>12</v>
      </c>
      <c r="D30">
        <v>1</v>
      </c>
      <c r="E30">
        <v>1000</v>
      </c>
      <c r="F30">
        <v>3.1539000000000001</v>
      </c>
      <c r="G30">
        <v>2.8774329999999999</v>
      </c>
      <c r="H30">
        <v>-0.27645549600000002</v>
      </c>
      <c r="I30">
        <v>0.18412100000000001</v>
      </c>
      <c r="J30">
        <v>0.179815</v>
      </c>
      <c r="K30">
        <v>-2.3387420999999999E-2</v>
      </c>
      <c r="L30">
        <v>-8.7655453999999994E-2</v>
      </c>
      <c r="M30">
        <v>0.67700000000000005</v>
      </c>
      <c r="N30">
        <v>0</v>
      </c>
    </row>
    <row r="31" spans="1:14" x14ac:dyDescent="0.25">
      <c r="A31" t="s">
        <v>142</v>
      </c>
      <c r="B31" t="s">
        <v>341</v>
      </c>
      <c r="C31" t="s">
        <v>13</v>
      </c>
      <c r="D31">
        <v>1</v>
      </c>
      <c r="E31">
        <v>1000</v>
      </c>
      <c r="F31">
        <v>-0.434</v>
      </c>
      <c r="G31">
        <v>-0.49408299999999999</v>
      </c>
      <c r="H31">
        <v>-6.0122565000000003E-2</v>
      </c>
      <c r="I31">
        <v>6.9847999999999993E-2</v>
      </c>
      <c r="J31">
        <v>6.8860000000000005E-2</v>
      </c>
      <c r="K31">
        <v>-1.4143733E-2</v>
      </c>
      <c r="L31">
        <v>0.13854401559999999</v>
      </c>
      <c r="M31">
        <v>0.86</v>
      </c>
      <c r="N31">
        <v>0</v>
      </c>
    </row>
    <row r="32" spans="1:14" x14ac:dyDescent="0.25">
      <c r="A32" t="s">
        <v>142</v>
      </c>
      <c r="B32" t="s">
        <v>341</v>
      </c>
      <c r="C32" t="s">
        <v>14</v>
      </c>
      <c r="D32">
        <v>1</v>
      </c>
      <c r="E32">
        <v>1000</v>
      </c>
      <c r="F32">
        <v>-7.6E-3</v>
      </c>
      <c r="G32">
        <v>-8.4229999999999999E-3</v>
      </c>
      <c r="H32">
        <v>-8.0547099999999999E-4</v>
      </c>
      <c r="I32">
        <v>3.5878E-2</v>
      </c>
      <c r="J32">
        <v>3.9892999999999998E-2</v>
      </c>
      <c r="K32">
        <v>0.11191100380000001</v>
      </c>
      <c r="L32">
        <v>0.10573246779999999</v>
      </c>
      <c r="M32">
        <v>0.97499999999999998</v>
      </c>
      <c r="N32">
        <v>0</v>
      </c>
    </row>
    <row r="33" spans="1:14" x14ac:dyDescent="0.25">
      <c r="A33" t="s">
        <v>142</v>
      </c>
      <c r="B33" t="s">
        <v>341</v>
      </c>
      <c r="C33" t="s">
        <v>15</v>
      </c>
      <c r="D33">
        <v>1</v>
      </c>
      <c r="E33">
        <v>1000</v>
      </c>
      <c r="F33">
        <v>-0.4551</v>
      </c>
      <c r="G33">
        <v>-0.376807</v>
      </c>
      <c r="H33">
        <v>7.8324886699999999E-2</v>
      </c>
      <c r="I33">
        <v>4.3832000000000003E-2</v>
      </c>
      <c r="J33">
        <v>4.2911999999999999E-2</v>
      </c>
      <c r="K33">
        <v>-2.0996442000000001E-2</v>
      </c>
      <c r="L33">
        <v>-0.172092723</v>
      </c>
      <c r="M33">
        <v>0.58699999999999997</v>
      </c>
      <c r="N33">
        <v>0</v>
      </c>
    </row>
    <row r="34" spans="1:14" x14ac:dyDescent="0.25">
      <c r="A34" t="s">
        <v>142</v>
      </c>
      <c r="B34" t="s">
        <v>341</v>
      </c>
      <c r="C34" t="s">
        <v>16</v>
      </c>
      <c r="D34">
        <v>1</v>
      </c>
      <c r="E34">
        <v>1000</v>
      </c>
      <c r="F34">
        <v>-8.0399999999999999E-2</v>
      </c>
      <c r="G34">
        <v>-7.8947000000000003E-2</v>
      </c>
      <c r="H34">
        <v>1.4593046E-3</v>
      </c>
      <c r="I34">
        <v>4.6677999999999997E-2</v>
      </c>
      <c r="J34">
        <v>5.101E-2</v>
      </c>
      <c r="K34">
        <v>9.2808461199999998E-2</v>
      </c>
      <c r="L34">
        <v>-1.8149080000000001E-2</v>
      </c>
      <c r="M34">
        <v>0.96599999999999997</v>
      </c>
      <c r="N34">
        <v>0</v>
      </c>
    </row>
    <row r="35" spans="1:14" x14ac:dyDescent="0.25">
      <c r="A35" t="s">
        <v>142</v>
      </c>
      <c r="B35" t="s">
        <v>341</v>
      </c>
      <c r="C35" t="s">
        <v>17</v>
      </c>
      <c r="D35">
        <v>1</v>
      </c>
      <c r="E35">
        <v>1000</v>
      </c>
      <c r="F35">
        <v>-0.1255</v>
      </c>
      <c r="G35">
        <v>-0.13481000000000001</v>
      </c>
      <c r="H35">
        <v>-9.345374E-3</v>
      </c>
      <c r="I35">
        <v>4.5120000000000004E-3</v>
      </c>
      <c r="J35">
        <v>4.5389999999999996E-3</v>
      </c>
      <c r="K35">
        <v>6.0565955000000003E-3</v>
      </c>
      <c r="L35">
        <v>7.4486048900000004E-2</v>
      </c>
      <c r="M35">
        <v>0.504</v>
      </c>
      <c r="N35">
        <v>0</v>
      </c>
    </row>
    <row r="36" spans="1:14" x14ac:dyDescent="0.25">
      <c r="A36" t="s">
        <v>142</v>
      </c>
      <c r="B36" t="s">
        <v>341</v>
      </c>
      <c r="C36" t="s">
        <v>18</v>
      </c>
      <c r="D36">
        <v>1</v>
      </c>
      <c r="E36">
        <v>1000</v>
      </c>
      <c r="F36">
        <v>-1.1999999999999999E-3</v>
      </c>
      <c r="G36">
        <v>-1.9269999999999999E-3</v>
      </c>
      <c r="H36">
        <v>-7.3420799999999997E-4</v>
      </c>
      <c r="I36">
        <v>2.2109999999999999E-3</v>
      </c>
      <c r="J36">
        <v>2.3479999999999998E-3</v>
      </c>
      <c r="K36">
        <v>6.1803109299999999E-2</v>
      </c>
      <c r="L36">
        <v>0.61575738840000005</v>
      </c>
      <c r="M36">
        <v>0.95299999999999996</v>
      </c>
      <c r="N36">
        <v>0</v>
      </c>
    </row>
    <row r="37" spans="1:14" x14ac:dyDescent="0.25">
      <c r="A37" t="s">
        <v>142</v>
      </c>
      <c r="B37" t="s">
        <v>342</v>
      </c>
      <c r="C37" t="s">
        <v>12</v>
      </c>
      <c r="D37">
        <v>1</v>
      </c>
      <c r="E37">
        <v>1000</v>
      </c>
      <c r="F37">
        <v>3.1539000000000001</v>
      </c>
      <c r="G37">
        <v>2.9814820000000002</v>
      </c>
      <c r="H37">
        <v>-0.172406278</v>
      </c>
      <c r="I37">
        <v>0.179843</v>
      </c>
      <c r="J37">
        <v>0.180754</v>
      </c>
      <c r="K37">
        <v>5.0629315999999999E-3</v>
      </c>
      <c r="L37">
        <v>-5.4664677000000002E-2</v>
      </c>
      <c r="M37">
        <v>0.85799999999999998</v>
      </c>
      <c r="N37">
        <v>0</v>
      </c>
    </row>
    <row r="38" spans="1:14" x14ac:dyDescent="0.25">
      <c r="A38" t="s">
        <v>142</v>
      </c>
      <c r="B38" t="s">
        <v>342</v>
      </c>
      <c r="C38" t="s">
        <v>13</v>
      </c>
      <c r="D38">
        <v>1</v>
      </c>
      <c r="E38">
        <v>1000</v>
      </c>
      <c r="F38">
        <v>-0.434</v>
      </c>
      <c r="G38">
        <v>-0.38847799999999999</v>
      </c>
      <c r="H38">
        <v>4.5482241299999997E-2</v>
      </c>
      <c r="I38">
        <v>6.8641999999999995E-2</v>
      </c>
      <c r="J38">
        <v>7.0175000000000001E-2</v>
      </c>
      <c r="K38">
        <v>2.23403803E-2</v>
      </c>
      <c r="L38">
        <v>-0.104807443</v>
      </c>
      <c r="M38">
        <v>0.89900000000000002</v>
      </c>
      <c r="N38">
        <v>0</v>
      </c>
    </row>
    <row r="39" spans="1:14" x14ac:dyDescent="0.25">
      <c r="A39" t="s">
        <v>142</v>
      </c>
      <c r="B39" t="s">
        <v>342</v>
      </c>
      <c r="C39" t="s">
        <v>14</v>
      </c>
      <c r="D39">
        <v>1</v>
      </c>
      <c r="E39">
        <v>1000</v>
      </c>
      <c r="F39">
        <v>-7.6E-3</v>
      </c>
      <c r="G39">
        <v>-1.5272000000000001E-2</v>
      </c>
      <c r="H39">
        <v>-7.653679E-3</v>
      </c>
      <c r="I39">
        <v>3.5672000000000002E-2</v>
      </c>
      <c r="J39">
        <v>4.0207E-2</v>
      </c>
      <c r="K39">
        <v>0.12712539119999999</v>
      </c>
      <c r="L39">
        <v>1.0046821142</v>
      </c>
      <c r="M39">
        <v>0.96899999999999997</v>
      </c>
      <c r="N39">
        <v>0</v>
      </c>
    </row>
    <row r="40" spans="1:14" x14ac:dyDescent="0.25">
      <c r="A40" t="s">
        <v>142</v>
      </c>
      <c r="B40" t="s">
        <v>342</v>
      </c>
      <c r="C40" t="s">
        <v>15</v>
      </c>
      <c r="D40">
        <v>1</v>
      </c>
      <c r="E40">
        <v>1000</v>
      </c>
      <c r="F40">
        <v>-0.4551</v>
      </c>
      <c r="G40">
        <v>-0.43194399999999999</v>
      </c>
      <c r="H40">
        <v>2.3187460900000002E-2</v>
      </c>
      <c r="I40">
        <v>4.2826999999999997E-2</v>
      </c>
      <c r="J40">
        <v>4.3596000000000003E-2</v>
      </c>
      <c r="K40">
        <v>1.7965927499999999E-2</v>
      </c>
      <c r="L40">
        <v>-5.0946683999999999E-2</v>
      </c>
      <c r="M40">
        <v>0.93400000000000005</v>
      </c>
      <c r="N40">
        <v>0</v>
      </c>
    </row>
    <row r="41" spans="1:14" x14ac:dyDescent="0.25">
      <c r="A41" t="s">
        <v>142</v>
      </c>
      <c r="B41" t="s">
        <v>342</v>
      </c>
      <c r="C41" t="s">
        <v>16</v>
      </c>
      <c r="D41">
        <v>1</v>
      </c>
      <c r="E41">
        <v>1000</v>
      </c>
      <c r="F41">
        <v>-8.0399999999999999E-2</v>
      </c>
      <c r="G41">
        <v>-0.100892</v>
      </c>
      <c r="H41">
        <v>-2.0485189000000001E-2</v>
      </c>
      <c r="I41">
        <v>4.6417E-2</v>
      </c>
      <c r="J41">
        <v>5.1520999999999997E-2</v>
      </c>
      <c r="K41">
        <v>0.1099513976</v>
      </c>
      <c r="L41">
        <v>0.2547701973</v>
      </c>
      <c r="M41">
        <v>0.95299999999999996</v>
      </c>
      <c r="N41">
        <v>0</v>
      </c>
    </row>
    <row r="42" spans="1:14" x14ac:dyDescent="0.25">
      <c r="A42" t="s">
        <v>142</v>
      </c>
      <c r="B42" t="s">
        <v>342</v>
      </c>
      <c r="C42" t="s">
        <v>17</v>
      </c>
      <c r="D42">
        <v>1</v>
      </c>
      <c r="E42">
        <v>1000</v>
      </c>
      <c r="F42">
        <v>-0.1255</v>
      </c>
      <c r="G42">
        <v>-0.13546900000000001</v>
      </c>
      <c r="H42">
        <v>-1.0004406E-2</v>
      </c>
      <c r="I42">
        <v>4.4190000000000002E-3</v>
      </c>
      <c r="J42">
        <v>4.4929999999999996E-3</v>
      </c>
      <c r="K42">
        <v>1.6687961300000002E-2</v>
      </c>
      <c r="L42">
        <v>7.9738779400000001E-2</v>
      </c>
      <c r="M42">
        <v>0.44800000000000001</v>
      </c>
      <c r="N42">
        <v>0</v>
      </c>
    </row>
    <row r="43" spans="1:14" x14ac:dyDescent="0.25">
      <c r="A43" t="s">
        <v>142</v>
      </c>
      <c r="B43" t="s">
        <v>342</v>
      </c>
      <c r="C43" t="s">
        <v>18</v>
      </c>
      <c r="D43">
        <v>1</v>
      </c>
      <c r="E43">
        <v>1000</v>
      </c>
      <c r="F43">
        <v>-1.1999999999999999E-3</v>
      </c>
      <c r="G43">
        <v>-3.0499999999999999E-4</v>
      </c>
      <c r="H43">
        <v>8.8746759999999995E-4</v>
      </c>
      <c r="I43">
        <v>2.062E-3</v>
      </c>
      <c r="J43">
        <v>2.2399999999999998E-3</v>
      </c>
      <c r="K43">
        <v>8.6087549099999994E-2</v>
      </c>
      <c r="L43">
        <v>-0.74429175999999997</v>
      </c>
      <c r="M43">
        <v>0.95399999999999996</v>
      </c>
      <c r="N43">
        <v>0</v>
      </c>
    </row>
    <row r="44" spans="1:14" x14ac:dyDescent="0.25">
      <c r="A44" t="s">
        <v>142</v>
      </c>
      <c r="B44" t="s">
        <v>343</v>
      </c>
      <c r="C44" t="s">
        <v>12</v>
      </c>
      <c r="D44">
        <v>1</v>
      </c>
      <c r="E44">
        <v>1000</v>
      </c>
      <c r="F44">
        <v>3.1539000000000001</v>
      </c>
      <c r="G44">
        <v>3.1519849999999998</v>
      </c>
      <c r="H44">
        <v>-1.903423E-3</v>
      </c>
      <c r="I44">
        <v>0.17815900000000001</v>
      </c>
      <c r="J44">
        <v>0.17546600000000001</v>
      </c>
      <c r="K44">
        <v>-1.5116427E-2</v>
      </c>
      <c r="L44">
        <v>-6.0351600000000001E-4</v>
      </c>
      <c r="M44">
        <v>0.94199999999999995</v>
      </c>
      <c r="N44">
        <v>0</v>
      </c>
    </row>
    <row r="45" spans="1:14" x14ac:dyDescent="0.25">
      <c r="A45" t="s">
        <v>142</v>
      </c>
      <c r="B45" t="s">
        <v>343</v>
      </c>
      <c r="C45" t="s">
        <v>13</v>
      </c>
      <c r="D45">
        <v>1</v>
      </c>
      <c r="E45">
        <v>1000</v>
      </c>
      <c r="F45">
        <v>-0.434</v>
      </c>
      <c r="G45">
        <v>-0.45216899999999999</v>
      </c>
      <c r="H45">
        <v>-1.8208641000000001E-2</v>
      </c>
      <c r="I45">
        <v>6.7150000000000001E-2</v>
      </c>
      <c r="J45">
        <v>6.6006999999999996E-2</v>
      </c>
      <c r="K45">
        <v>-1.7015290999999998E-2</v>
      </c>
      <c r="L45">
        <v>4.1959257299999997E-2</v>
      </c>
      <c r="M45">
        <v>0.93400000000000005</v>
      </c>
      <c r="N45">
        <v>0</v>
      </c>
    </row>
    <row r="46" spans="1:14" x14ac:dyDescent="0.25">
      <c r="A46" t="s">
        <v>142</v>
      </c>
      <c r="B46" t="s">
        <v>343</v>
      </c>
      <c r="C46" t="s">
        <v>14</v>
      </c>
      <c r="D46">
        <v>1</v>
      </c>
      <c r="E46">
        <v>1000</v>
      </c>
      <c r="F46">
        <v>-7.6E-3</v>
      </c>
      <c r="G46">
        <v>-8.3079999999999994E-3</v>
      </c>
      <c r="H46">
        <v>-6.8999000000000003E-4</v>
      </c>
      <c r="I46">
        <v>3.6174999999999999E-2</v>
      </c>
      <c r="J46">
        <v>3.9641000000000003E-2</v>
      </c>
      <c r="K46">
        <v>9.5816253099999998E-2</v>
      </c>
      <c r="L46">
        <v>9.05735176E-2</v>
      </c>
      <c r="M46">
        <v>0.97299999999999998</v>
      </c>
      <c r="N46">
        <v>0</v>
      </c>
    </row>
    <row r="47" spans="1:14" x14ac:dyDescent="0.25">
      <c r="A47" t="s">
        <v>142</v>
      </c>
      <c r="B47" t="s">
        <v>343</v>
      </c>
      <c r="C47" t="s">
        <v>15</v>
      </c>
      <c r="D47">
        <v>1</v>
      </c>
      <c r="E47">
        <v>1000</v>
      </c>
      <c r="F47">
        <v>-0.4551</v>
      </c>
      <c r="G47">
        <v>-0.45318900000000001</v>
      </c>
      <c r="H47">
        <v>1.9425695000000001E-3</v>
      </c>
      <c r="I47">
        <v>4.3359000000000002E-2</v>
      </c>
      <c r="J47">
        <v>4.2437999999999997E-2</v>
      </c>
      <c r="K47">
        <v>-2.1236488000000001E-2</v>
      </c>
      <c r="L47">
        <v>-4.2681459999999996E-3</v>
      </c>
      <c r="M47">
        <v>0.93500000000000005</v>
      </c>
      <c r="N47">
        <v>0</v>
      </c>
    </row>
    <row r="48" spans="1:14" x14ac:dyDescent="0.25">
      <c r="A48" t="s">
        <v>142</v>
      </c>
      <c r="B48" t="s">
        <v>343</v>
      </c>
      <c r="C48" t="s">
        <v>16</v>
      </c>
      <c r="D48">
        <v>1</v>
      </c>
      <c r="E48">
        <v>1000</v>
      </c>
      <c r="F48">
        <v>-8.0399999999999999E-2</v>
      </c>
      <c r="G48">
        <v>-8.1784999999999997E-2</v>
      </c>
      <c r="H48">
        <v>-1.378343E-3</v>
      </c>
      <c r="I48">
        <v>4.7677999999999998E-2</v>
      </c>
      <c r="J48">
        <v>5.0122E-2</v>
      </c>
      <c r="K48">
        <v>5.1257070100000003E-2</v>
      </c>
      <c r="L48">
        <v>1.7142173600000001E-2</v>
      </c>
      <c r="M48">
        <v>0.95499999999999996</v>
      </c>
      <c r="N48">
        <v>0</v>
      </c>
    </row>
    <row r="49" spans="1:14" x14ac:dyDescent="0.25">
      <c r="A49" t="s">
        <v>142</v>
      </c>
      <c r="B49" t="s">
        <v>343</v>
      </c>
      <c r="C49" t="s">
        <v>17</v>
      </c>
      <c r="D49">
        <v>1</v>
      </c>
      <c r="E49">
        <v>1000</v>
      </c>
      <c r="F49">
        <v>-0.1255</v>
      </c>
      <c r="G49">
        <v>-0.12396699999999999</v>
      </c>
      <c r="H49">
        <v>1.4972612E-3</v>
      </c>
      <c r="I49">
        <v>4.1229999999999999E-3</v>
      </c>
      <c r="J49">
        <v>4.2009999999999999E-3</v>
      </c>
      <c r="K49">
        <v>1.8986840800000002E-2</v>
      </c>
      <c r="L49">
        <v>-1.1933719000000001E-2</v>
      </c>
      <c r="M49">
        <v>0.94</v>
      </c>
      <c r="N49">
        <v>0</v>
      </c>
    </row>
    <row r="50" spans="1:14" x14ac:dyDescent="0.25">
      <c r="A50" t="s">
        <v>142</v>
      </c>
      <c r="B50" t="s">
        <v>343</v>
      </c>
      <c r="C50" t="s">
        <v>18</v>
      </c>
      <c r="D50">
        <v>1</v>
      </c>
      <c r="E50">
        <v>1000</v>
      </c>
      <c r="F50">
        <v>-1.1999999999999999E-3</v>
      </c>
      <c r="G50">
        <v>-1.3630000000000001E-3</v>
      </c>
      <c r="H50">
        <v>-1.70967E-4</v>
      </c>
      <c r="I50">
        <v>2.0100000000000001E-3</v>
      </c>
      <c r="J50">
        <v>2.1589999999999999E-3</v>
      </c>
      <c r="K50">
        <v>7.4206943100000006E-2</v>
      </c>
      <c r="L50">
        <v>0.1433847684</v>
      </c>
      <c r="M50">
        <v>0.96799999999999997</v>
      </c>
      <c r="N50">
        <v>0</v>
      </c>
    </row>
    <row r="51" spans="1:14" x14ac:dyDescent="0.25">
      <c r="A51" t="s">
        <v>142</v>
      </c>
      <c r="B51" t="s">
        <v>344</v>
      </c>
      <c r="C51" t="s">
        <v>12</v>
      </c>
      <c r="D51">
        <v>1</v>
      </c>
      <c r="E51">
        <v>1000</v>
      </c>
      <c r="F51">
        <v>3.1539000000000001</v>
      </c>
      <c r="G51">
        <v>3.1548660000000002</v>
      </c>
      <c r="H51">
        <v>9.783598000000001E-4</v>
      </c>
      <c r="I51">
        <v>0.17757300000000001</v>
      </c>
      <c r="J51">
        <v>0.174896</v>
      </c>
      <c r="K51">
        <v>-1.5076724E-2</v>
      </c>
      <c r="L51">
        <v>3.1020750000000001E-4</v>
      </c>
      <c r="M51">
        <v>0.94499999999999995</v>
      </c>
      <c r="N51">
        <v>0</v>
      </c>
    </row>
    <row r="52" spans="1:14" x14ac:dyDescent="0.25">
      <c r="A52" t="s">
        <v>142</v>
      </c>
      <c r="B52" t="s">
        <v>344</v>
      </c>
      <c r="C52" t="s">
        <v>13</v>
      </c>
      <c r="D52">
        <v>1</v>
      </c>
      <c r="E52">
        <v>1000</v>
      </c>
      <c r="F52">
        <v>-0.434</v>
      </c>
      <c r="G52">
        <v>-0.45130599999999998</v>
      </c>
      <c r="H52">
        <v>-1.7346245999999999E-2</v>
      </c>
      <c r="I52">
        <v>6.6822999999999994E-2</v>
      </c>
      <c r="J52">
        <v>6.5694000000000002E-2</v>
      </c>
      <c r="K52">
        <v>-1.6898508E-2</v>
      </c>
      <c r="L52">
        <v>3.9971989300000003E-2</v>
      </c>
      <c r="M52">
        <v>0.93400000000000005</v>
      </c>
      <c r="N52">
        <v>0</v>
      </c>
    </row>
    <row r="53" spans="1:14" x14ac:dyDescent="0.25">
      <c r="A53" t="s">
        <v>142</v>
      </c>
      <c r="B53" t="s">
        <v>344</v>
      </c>
      <c r="C53" t="s">
        <v>14</v>
      </c>
      <c r="D53">
        <v>1</v>
      </c>
      <c r="E53">
        <v>1000</v>
      </c>
      <c r="F53">
        <v>-7.6E-3</v>
      </c>
      <c r="G53">
        <v>-8.4019999999999997E-3</v>
      </c>
      <c r="H53">
        <v>-7.84463E-4</v>
      </c>
      <c r="I53">
        <v>3.6095000000000002E-2</v>
      </c>
      <c r="J53">
        <v>3.9631E-2</v>
      </c>
      <c r="K53">
        <v>9.7981854500000007E-2</v>
      </c>
      <c r="L53">
        <v>0.10297484210000001</v>
      </c>
      <c r="M53">
        <v>0.97199999999999998</v>
      </c>
      <c r="N53">
        <v>0</v>
      </c>
    </row>
    <row r="54" spans="1:14" x14ac:dyDescent="0.25">
      <c r="A54" t="s">
        <v>142</v>
      </c>
      <c r="B54" t="s">
        <v>344</v>
      </c>
      <c r="C54" t="s">
        <v>15</v>
      </c>
      <c r="D54">
        <v>1</v>
      </c>
      <c r="E54">
        <v>1000</v>
      </c>
      <c r="F54">
        <v>-0.4551</v>
      </c>
      <c r="G54">
        <v>-0.45345099999999999</v>
      </c>
      <c r="H54">
        <v>1.6808412E-3</v>
      </c>
      <c r="I54">
        <v>4.2999000000000002E-2</v>
      </c>
      <c r="J54">
        <v>4.2105999999999998E-2</v>
      </c>
      <c r="K54">
        <v>-2.0771966999999999E-2</v>
      </c>
      <c r="L54">
        <v>-3.6930859999999999E-3</v>
      </c>
      <c r="M54">
        <v>0.93100000000000005</v>
      </c>
      <c r="N54">
        <v>0</v>
      </c>
    </row>
    <row r="55" spans="1:14" x14ac:dyDescent="0.25">
      <c r="A55" t="s">
        <v>142</v>
      </c>
      <c r="B55" t="s">
        <v>344</v>
      </c>
      <c r="C55" t="s">
        <v>16</v>
      </c>
      <c r="D55">
        <v>1</v>
      </c>
      <c r="E55">
        <v>1000</v>
      </c>
      <c r="F55">
        <v>-8.0399999999999999E-2</v>
      </c>
      <c r="G55">
        <v>-8.1888000000000002E-2</v>
      </c>
      <c r="H55">
        <v>-1.4818679999999999E-3</v>
      </c>
      <c r="I55">
        <v>4.7796999999999999E-2</v>
      </c>
      <c r="J55">
        <v>5.0140999999999998E-2</v>
      </c>
      <c r="K55">
        <v>4.9026539700000003E-2</v>
      </c>
      <c r="L55">
        <v>1.8429695999999999E-2</v>
      </c>
      <c r="M55">
        <v>0.95699999999999996</v>
      </c>
      <c r="N55">
        <v>0</v>
      </c>
    </row>
    <row r="56" spans="1:14" x14ac:dyDescent="0.25">
      <c r="A56" t="s">
        <v>142</v>
      </c>
      <c r="B56" t="s">
        <v>344</v>
      </c>
      <c r="C56" t="s">
        <v>17</v>
      </c>
      <c r="D56">
        <v>1</v>
      </c>
      <c r="E56">
        <v>1000</v>
      </c>
      <c r="F56">
        <v>-0.1255</v>
      </c>
      <c r="G56">
        <v>-0.123893</v>
      </c>
      <c r="H56">
        <v>1.5713522000000001E-3</v>
      </c>
      <c r="I56">
        <v>4.0810000000000004E-3</v>
      </c>
      <c r="J56">
        <v>4.1879999999999999E-3</v>
      </c>
      <c r="K56">
        <v>2.6331029999999998E-2</v>
      </c>
      <c r="L56">
        <v>-1.2524252E-2</v>
      </c>
      <c r="M56">
        <v>0.94199999999999995</v>
      </c>
      <c r="N56">
        <v>0</v>
      </c>
    </row>
    <row r="57" spans="1:14" x14ac:dyDescent="0.25">
      <c r="A57" t="s">
        <v>142</v>
      </c>
      <c r="B57" t="s">
        <v>344</v>
      </c>
      <c r="C57" t="s">
        <v>18</v>
      </c>
      <c r="D57">
        <v>1</v>
      </c>
      <c r="E57">
        <v>1000</v>
      </c>
      <c r="F57">
        <v>-1.1999999999999999E-3</v>
      </c>
      <c r="G57">
        <v>-1.4250000000000001E-3</v>
      </c>
      <c r="H57">
        <v>-2.3284299999999999E-4</v>
      </c>
      <c r="I57">
        <v>1.9729999999999999E-3</v>
      </c>
      <c r="J57">
        <v>2.127E-3</v>
      </c>
      <c r="K57">
        <v>7.7947618900000001E-2</v>
      </c>
      <c r="L57">
        <v>0.19527794179999999</v>
      </c>
      <c r="M57">
        <v>0.96899999999999997</v>
      </c>
      <c r="N57">
        <v>0</v>
      </c>
    </row>
    <row r="58" spans="1:14" x14ac:dyDescent="0.25">
      <c r="A58" t="s">
        <v>142</v>
      </c>
      <c r="B58" t="s">
        <v>623</v>
      </c>
      <c r="C58" t="s">
        <v>12</v>
      </c>
      <c r="D58">
        <v>1</v>
      </c>
      <c r="E58">
        <v>960</v>
      </c>
      <c r="F58">
        <v>106.8125</v>
      </c>
      <c r="G58">
        <v>107.27319199999999</v>
      </c>
      <c r="H58">
        <v>0.46073542540000001</v>
      </c>
      <c r="I58">
        <v>1.3786119999999999</v>
      </c>
      <c r="J58">
        <v>1.393003</v>
      </c>
      <c r="K58">
        <v>1.0438637799999999E-2</v>
      </c>
      <c r="L58">
        <v>4.3134990000000002E-3</v>
      </c>
      <c r="M58">
        <v>0.93645833329999995</v>
      </c>
      <c r="N58">
        <v>0</v>
      </c>
    </row>
    <row r="59" spans="1:14" x14ac:dyDescent="0.25">
      <c r="A59" t="s">
        <v>142</v>
      </c>
      <c r="B59" t="s">
        <v>623</v>
      </c>
      <c r="C59" t="s">
        <v>13</v>
      </c>
      <c r="D59">
        <v>1</v>
      </c>
      <c r="E59">
        <v>960</v>
      </c>
      <c r="F59">
        <v>-4.7992999999999997</v>
      </c>
      <c r="G59">
        <v>-4.748113</v>
      </c>
      <c r="H59">
        <v>5.1169293499999997E-2</v>
      </c>
      <c r="I59">
        <v>0.53917800000000005</v>
      </c>
      <c r="J59">
        <v>0.56073700000000004</v>
      </c>
      <c r="K59">
        <v>3.9984669899999999E-2</v>
      </c>
      <c r="L59">
        <v>-1.0661865E-2</v>
      </c>
      <c r="M59">
        <v>0.94895833330000001</v>
      </c>
      <c r="N59">
        <v>0</v>
      </c>
    </row>
    <row r="60" spans="1:14" x14ac:dyDescent="0.25">
      <c r="A60" t="s">
        <v>142</v>
      </c>
      <c r="B60" t="s">
        <v>623</v>
      </c>
      <c r="C60" t="s">
        <v>14</v>
      </c>
      <c r="D60">
        <v>1</v>
      </c>
      <c r="E60">
        <v>960</v>
      </c>
      <c r="F60">
        <v>8.7021999999999995</v>
      </c>
      <c r="G60">
        <v>8.7054299999999998</v>
      </c>
      <c r="H60">
        <v>3.2229611999999999E-3</v>
      </c>
      <c r="I60">
        <v>0.34140100000000001</v>
      </c>
      <c r="J60">
        <v>0.34302199999999999</v>
      </c>
      <c r="K60">
        <v>4.7476276000000001E-3</v>
      </c>
      <c r="L60">
        <v>3.7036129999999998E-4</v>
      </c>
      <c r="M60">
        <v>0.94895833330000001</v>
      </c>
      <c r="N60">
        <v>0</v>
      </c>
    </row>
    <row r="61" spans="1:14" x14ac:dyDescent="0.25">
      <c r="A61" t="s">
        <v>142</v>
      </c>
      <c r="B61" t="s">
        <v>623</v>
      </c>
      <c r="C61" t="s">
        <v>15</v>
      </c>
      <c r="D61">
        <v>1</v>
      </c>
      <c r="E61">
        <v>960</v>
      </c>
      <c r="F61">
        <v>-1.5806</v>
      </c>
      <c r="G61">
        <v>-1.740159</v>
      </c>
      <c r="H61">
        <v>-0.159533432</v>
      </c>
      <c r="I61">
        <v>0.34755399999999997</v>
      </c>
      <c r="J61">
        <v>0.34816200000000003</v>
      </c>
      <c r="K61">
        <v>1.7495415E-3</v>
      </c>
      <c r="L61">
        <v>0.100930543</v>
      </c>
      <c r="M61">
        <v>0.91874999999999996</v>
      </c>
      <c r="N61">
        <v>0</v>
      </c>
    </row>
    <row r="62" spans="1:14" x14ac:dyDescent="0.25">
      <c r="A62" t="s">
        <v>142</v>
      </c>
      <c r="B62" t="s">
        <v>623</v>
      </c>
      <c r="C62" t="s">
        <v>16</v>
      </c>
      <c r="D62">
        <v>1</v>
      </c>
      <c r="E62">
        <v>960</v>
      </c>
      <c r="F62">
        <v>-7.7763999999999998</v>
      </c>
      <c r="G62">
        <v>-7.8359560000000004</v>
      </c>
      <c r="H62">
        <v>-5.9527495999999999E-2</v>
      </c>
      <c r="I62">
        <v>0.40762900000000002</v>
      </c>
      <c r="J62">
        <v>0.42429099999999997</v>
      </c>
      <c r="K62">
        <v>4.08746844E-2</v>
      </c>
      <c r="L62">
        <v>7.6548626999999999E-3</v>
      </c>
      <c r="M62">
        <v>0.95729166669999999</v>
      </c>
      <c r="N62">
        <v>0</v>
      </c>
    </row>
    <row r="63" spans="1:14" x14ac:dyDescent="0.25">
      <c r="A63" t="s">
        <v>142</v>
      </c>
      <c r="B63" t="s">
        <v>623</v>
      </c>
      <c r="C63" t="s">
        <v>17</v>
      </c>
      <c r="D63">
        <v>1</v>
      </c>
      <c r="E63">
        <v>960</v>
      </c>
      <c r="F63">
        <v>5.8643999999999998</v>
      </c>
      <c r="G63">
        <v>5.857647</v>
      </c>
      <c r="H63">
        <v>-6.7637260000000003E-3</v>
      </c>
      <c r="I63">
        <v>2.1228E-2</v>
      </c>
      <c r="J63">
        <v>2.1933999999999999E-2</v>
      </c>
      <c r="K63">
        <v>3.3258861299999998E-2</v>
      </c>
      <c r="L63">
        <v>-1.1533509999999999E-3</v>
      </c>
      <c r="M63">
        <v>0.95208333329999995</v>
      </c>
      <c r="N63">
        <v>0</v>
      </c>
    </row>
    <row r="64" spans="1:14" x14ac:dyDescent="0.25">
      <c r="A64" t="s">
        <v>142</v>
      </c>
      <c r="B64" t="s">
        <v>623</v>
      </c>
      <c r="C64" t="s">
        <v>18</v>
      </c>
      <c r="D64">
        <v>1</v>
      </c>
      <c r="E64">
        <v>960</v>
      </c>
      <c r="F64">
        <v>3.2099999999999997E-2</v>
      </c>
      <c r="G64">
        <v>4.0434999999999999E-2</v>
      </c>
      <c r="H64">
        <v>8.3263832000000006E-3</v>
      </c>
      <c r="I64">
        <v>1.3842E-2</v>
      </c>
      <c r="J64">
        <v>1.5069000000000001E-2</v>
      </c>
      <c r="K64">
        <v>8.8673757399999997E-2</v>
      </c>
      <c r="L64">
        <v>0.25932108840000001</v>
      </c>
      <c r="M64">
        <v>0.93645833329999995</v>
      </c>
      <c r="N64">
        <v>0</v>
      </c>
    </row>
    <row r="65" spans="1:14" x14ac:dyDescent="0.25">
      <c r="A65" t="s">
        <v>142</v>
      </c>
      <c r="B65" t="s">
        <v>624</v>
      </c>
      <c r="C65" t="s">
        <v>12</v>
      </c>
      <c r="D65">
        <v>1</v>
      </c>
      <c r="E65">
        <v>909</v>
      </c>
      <c r="F65">
        <v>3.1539000000000001</v>
      </c>
      <c r="G65">
        <v>3.1572909999999998</v>
      </c>
      <c r="H65">
        <v>3.4031776000000001E-3</v>
      </c>
      <c r="I65">
        <v>0.17904700000000001</v>
      </c>
      <c r="J65">
        <v>0.17573800000000001</v>
      </c>
      <c r="K65">
        <v>-1.8482175E-2</v>
      </c>
      <c r="L65">
        <v>1.0790419000000001E-3</v>
      </c>
      <c r="M65">
        <v>0.94389438940000003</v>
      </c>
      <c r="N65">
        <v>0</v>
      </c>
    </row>
    <row r="66" spans="1:14" x14ac:dyDescent="0.25">
      <c r="A66" t="s">
        <v>142</v>
      </c>
      <c r="B66" t="s">
        <v>624</v>
      </c>
      <c r="C66" t="s">
        <v>13</v>
      </c>
      <c r="D66">
        <v>1</v>
      </c>
      <c r="E66">
        <v>909</v>
      </c>
      <c r="F66">
        <v>-0.434</v>
      </c>
      <c r="G66">
        <v>-0.449546</v>
      </c>
      <c r="H66">
        <v>-1.558561E-2</v>
      </c>
      <c r="I66">
        <v>6.6864999999999994E-2</v>
      </c>
      <c r="J66">
        <v>6.5973000000000004E-2</v>
      </c>
      <c r="K66">
        <v>-1.3339876000000001E-2</v>
      </c>
      <c r="L66">
        <v>3.59148517E-2</v>
      </c>
      <c r="M66">
        <v>0.94169416939999995</v>
      </c>
      <c r="N66">
        <v>0</v>
      </c>
    </row>
    <row r="67" spans="1:14" x14ac:dyDescent="0.25">
      <c r="A67" t="s">
        <v>142</v>
      </c>
      <c r="B67" t="s">
        <v>624</v>
      </c>
      <c r="C67" t="s">
        <v>14</v>
      </c>
      <c r="D67">
        <v>1</v>
      </c>
      <c r="E67">
        <v>909</v>
      </c>
      <c r="F67">
        <v>-7.6E-3</v>
      </c>
      <c r="G67">
        <v>-8.482E-3</v>
      </c>
      <c r="H67">
        <v>-8.6443999999999996E-4</v>
      </c>
      <c r="I67">
        <v>3.5748000000000002E-2</v>
      </c>
      <c r="J67">
        <v>3.9593000000000003E-2</v>
      </c>
      <c r="K67">
        <v>0.1075600437</v>
      </c>
      <c r="L67">
        <v>0.11347323099999999</v>
      </c>
      <c r="M67">
        <v>0.97359735970000005</v>
      </c>
      <c r="N67">
        <v>0</v>
      </c>
    </row>
    <row r="68" spans="1:14" x14ac:dyDescent="0.25">
      <c r="A68" t="s">
        <v>142</v>
      </c>
      <c r="B68" t="s">
        <v>624</v>
      </c>
      <c r="C68" t="s">
        <v>15</v>
      </c>
      <c r="D68">
        <v>1</v>
      </c>
      <c r="E68">
        <v>909</v>
      </c>
      <c r="F68">
        <v>-0.4551</v>
      </c>
      <c r="G68">
        <v>-0.45529799999999998</v>
      </c>
      <c r="H68">
        <v>-1.6570300000000001E-4</v>
      </c>
      <c r="I68">
        <v>4.3345000000000002E-2</v>
      </c>
      <c r="J68">
        <v>4.2438999999999998E-2</v>
      </c>
      <c r="K68">
        <v>-2.0896076E-2</v>
      </c>
      <c r="L68">
        <v>3.640761E-4</v>
      </c>
      <c r="M68">
        <v>0.93289328930000004</v>
      </c>
      <c r="N68">
        <v>0</v>
      </c>
    </row>
    <row r="69" spans="1:14" x14ac:dyDescent="0.25">
      <c r="A69" t="s">
        <v>142</v>
      </c>
      <c r="B69" t="s">
        <v>624</v>
      </c>
      <c r="C69" t="s">
        <v>16</v>
      </c>
      <c r="D69">
        <v>1</v>
      </c>
      <c r="E69">
        <v>909</v>
      </c>
      <c r="F69">
        <v>-8.0399999999999999E-2</v>
      </c>
      <c r="G69">
        <v>-8.1757999999999997E-2</v>
      </c>
      <c r="H69">
        <v>-1.3518180000000001E-3</v>
      </c>
      <c r="I69">
        <v>4.7910000000000001E-2</v>
      </c>
      <c r="J69">
        <v>5.0088000000000001E-2</v>
      </c>
      <c r="K69">
        <v>4.5459426999999997E-2</v>
      </c>
      <c r="L69">
        <v>1.6812286100000001E-2</v>
      </c>
      <c r="M69">
        <v>0.95379537950000004</v>
      </c>
      <c r="N69">
        <v>0</v>
      </c>
    </row>
    <row r="70" spans="1:14" x14ac:dyDescent="0.25">
      <c r="A70" t="s">
        <v>142</v>
      </c>
      <c r="B70" t="s">
        <v>624</v>
      </c>
      <c r="C70" t="s">
        <v>17</v>
      </c>
      <c r="D70">
        <v>1</v>
      </c>
      <c r="E70">
        <v>909</v>
      </c>
      <c r="F70">
        <v>-0.1255</v>
      </c>
      <c r="G70">
        <v>-0.12399499999999999</v>
      </c>
      <c r="H70">
        <v>1.4701732E-3</v>
      </c>
      <c r="I70">
        <v>4.1240000000000001E-3</v>
      </c>
      <c r="J70">
        <v>4.2040000000000003E-3</v>
      </c>
      <c r="K70">
        <v>1.9495080299999999E-2</v>
      </c>
      <c r="L70">
        <v>-1.1717819000000001E-2</v>
      </c>
      <c r="M70">
        <v>0.94169416939999995</v>
      </c>
      <c r="N70">
        <v>0</v>
      </c>
    </row>
    <row r="71" spans="1:14" x14ac:dyDescent="0.25">
      <c r="A71" t="s">
        <v>142</v>
      </c>
      <c r="B71" t="s">
        <v>624</v>
      </c>
      <c r="C71" t="s">
        <v>18</v>
      </c>
      <c r="D71">
        <v>1</v>
      </c>
      <c r="E71">
        <v>909</v>
      </c>
      <c r="F71">
        <v>-1.1999999999999999E-3</v>
      </c>
      <c r="G71">
        <v>-1.3140000000000001E-3</v>
      </c>
      <c r="H71">
        <v>-1.2212599999999999E-4</v>
      </c>
      <c r="I71">
        <v>2.0179999999999998E-3</v>
      </c>
      <c r="J71">
        <v>2.163E-3</v>
      </c>
      <c r="K71">
        <v>7.1538031000000002E-2</v>
      </c>
      <c r="L71">
        <v>0.1024231791</v>
      </c>
      <c r="M71">
        <v>0.96919691969999999</v>
      </c>
      <c r="N71">
        <v>0</v>
      </c>
    </row>
    <row r="72" spans="1:14" x14ac:dyDescent="0.25">
      <c r="A72" t="s">
        <v>142</v>
      </c>
      <c r="B72" t="s">
        <v>162</v>
      </c>
      <c r="C72" t="s">
        <v>12</v>
      </c>
      <c r="D72">
        <v>1</v>
      </c>
      <c r="E72">
        <v>1000</v>
      </c>
      <c r="F72">
        <v>106.8125</v>
      </c>
      <c r="G72">
        <v>110.286179</v>
      </c>
      <c r="H72">
        <v>3.4737227511</v>
      </c>
      <c r="I72">
        <v>1.400649</v>
      </c>
      <c r="J72">
        <v>1.3811910000000001</v>
      </c>
      <c r="K72">
        <v>-1.3891937E-2</v>
      </c>
      <c r="L72">
        <v>3.2521700799999997E-2</v>
      </c>
      <c r="M72">
        <v>0.29699999999999999</v>
      </c>
      <c r="N72">
        <v>1</v>
      </c>
    </row>
    <row r="73" spans="1:14" x14ac:dyDescent="0.25">
      <c r="A73" t="s">
        <v>142</v>
      </c>
      <c r="B73" t="s">
        <v>162</v>
      </c>
      <c r="C73" t="s">
        <v>13</v>
      </c>
      <c r="D73">
        <v>1</v>
      </c>
      <c r="E73">
        <v>1000</v>
      </c>
      <c r="F73">
        <v>-4.7992999999999997</v>
      </c>
      <c r="G73">
        <v>-4.6008769999999997</v>
      </c>
      <c r="H73">
        <v>0.1984050758</v>
      </c>
      <c r="I73">
        <v>0.54642800000000002</v>
      </c>
      <c r="J73">
        <v>0.55186900000000005</v>
      </c>
      <c r="K73">
        <v>9.9577473E-3</v>
      </c>
      <c r="L73">
        <v>-4.1340575999999997E-2</v>
      </c>
      <c r="M73">
        <v>0.94</v>
      </c>
      <c r="N73">
        <v>1</v>
      </c>
    </row>
    <row r="74" spans="1:14" x14ac:dyDescent="0.25">
      <c r="A74" t="s">
        <v>142</v>
      </c>
      <c r="B74" t="s">
        <v>162</v>
      </c>
      <c r="C74" t="s">
        <v>14</v>
      </c>
      <c r="D74">
        <v>1</v>
      </c>
      <c r="E74">
        <v>1000</v>
      </c>
      <c r="F74">
        <v>8.7021999999999995</v>
      </c>
      <c r="G74">
        <v>6.0541660000000004</v>
      </c>
      <c r="H74">
        <v>-2.6480411500000001</v>
      </c>
      <c r="I74">
        <v>0.34844599999999998</v>
      </c>
      <c r="J74">
        <v>0.34387000000000001</v>
      </c>
      <c r="K74">
        <v>-1.3133371E-2</v>
      </c>
      <c r="L74">
        <v>-0.304295341</v>
      </c>
      <c r="M74">
        <v>0</v>
      </c>
      <c r="N74">
        <v>1</v>
      </c>
    </row>
    <row r="75" spans="1:14" x14ac:dyDescent="0.25">
      <c r="A75" t="s">
        <v>142</v>
      </c>
      <c r="B75" t="s">
        <v>162</v>
      </c>
      <c r="C75" t="s">
        <v>15</v>
      </c>
      <c r="D75">
        <v>1</v>
      </c>
      <c r="E75">
        <v>1000</v>
      </c>
      <c r="F75">
        <v>-1.5806</v>
      </c>
      <c r="G75">
        <v>-2.335839</v>
      </c>
      <c r="H75">
        <v>-0.75521354799999996</v>
      </c>
      <c r="I75">
        <v>0.348916</v>
      </c>
      <c r="J75">
        <v>0.34393099999999999</v>
      </c>
      <c r="K75">
        <v>-1.4285968E-2</v>
      </c>
      <c r="L75">
        <v>0.47779398020000002</v>
      </c>
      <c r="M75">
        <v>0.42299999999999999</v>
      </c>
      <c r="N75">
        <v>1</v>
      </c>
    </row>
    <row r="76" spans="1:14" x14ac:dyDescent="0.25">
      <c r="A76" t="s">
        <v>142</v>
      </c>
      <c r="B76" t="s">
        <v>162</v>
      </c>
      <c r="C76" t="s">
        <v>16</v>
      </c>
      <c r="D76">
        <v>1</v>
      </c>
      <c r="E76">
        <v>1000</v>
      </c>
      <c r="F76">
        <v>-7.7763999999999998</v>
      </c>
      <c r="G76">
        <v>-5.2502209999999998</v>
      </c>
      <c r="H76">
        <v>2.5262083476999999</v>
      </c>
      <c r="I76">
        <v>0.420879</v>
      </c>
      <c r="J76">
        <v>0.43474200000000002</v>
      </c>
      <c r="K76">
        <v>3.29388839E-2</v>
      </c>
      <c r="L76">
        <v>-0.32485455200000002</v>
      </c>
      <c r="M76">
        <v>0</v>
      </c>
      <c r="N76">
        <v>1</v>
      </c>
    </row>
    <row r="77" spans="1:14" x14ac:dyDescent="0.25">
      <c r="A77" t="s">
        <v>142</v>
      </c>
      <c r="B77" t="s">
        <v>162</v>
      </c>
      <c r="C77" t="s">
        <v>17</v>
      </c>
      <c r="D77">
        <v>1</v>
      </c>
      <c r="E77">
        <v>1000</v>
      </c>
      <c r="F77">
        <v>5.8643999999999998</v>
      </c>
      <c r="G77">
        <v>5.92699</v>
      </c>
      <c r="H77">
        <v>6.2579117899999995E-2</v>
      </c>
      <c r="I77">
        <v>2.7498999999999999E-2</v>
      </c>
      <c r="J77">
        <v>2.7351E-2</v>
      </c>
      <c r="K77">
        <v>-5.3644779999999998E-3</v>
      </c>
      <c r="L77">
        <v>1.0670998399999999E-2</v>
      </c>
      <c r="M77">
        <v>0.35899999999999999</v>
      </c>
      <c r="N77">
        <v>1</v>
      </c>
    </row>
    <row r="78" spans="1:14" x14ac:dyDescent="0.25">
      <c r="A78" t="s">
        <v>142</v>
      </c>
      <c r="B78" t="s">
        <v>162</v>
      </c>
      <c r="C78" t="s">
        <v>18</v>
      </c>
      <c r="D78">
        <v>1</v>
      </c>
      <c r="E78">
        <v>1000</v>
      </c>
      <c r="F78">
        <v>3.2099999999999997E-2</v>
      </c>
      <c r="G78">
        <v>4.2994999999999998E-2</v>
      </c>
      <c r="H78">
        <v>1.0886316700000001E-2</v>
      </c>
      <c r="I78">
        <v>1.5391999999999999E-2</v>
      </c>
      <c r="J78">
        <v>1.5321E-2</v>
      </c>
      <c r="K78">
        <v>-4.6136880000000003E-3</v>
      </c>
      <c r="L78">
        <v>0.33904895070000002</v>
      </c>
      <c r="M78">
        <v>0.874</v>
      </c>
      <c r="N78">
        <v>0.80300000000000005</v>
      </c>
    </row>
    <row r="79" spans="1:14" x14ac:dyDescent="0.25">
      <c r="A79" t="s">
        <v>142</v>
      </c>
      <c r="B79" t="s">
        <v>165</v>
      </c>
      <c r="C79" t="s">
        <v>12</v>
      </c>
      <c r="D79">
        <v>1</v>
      </c>
      <c r="E79">
        <v>1000</v>
      </c>
      <c r="F79">
        <v>106.8125</v>
      </c>
      <c r="G79">
        <v>110.286179</v>
      </c>
      <c r="H79">
        <v>3.4737227511</v>
      </c>
      <c r="I79">
        <v>1.400649</v>
      </c>
      <c r="J79">
        <v>1.3811910000000001</v>
      </c>
      <c r="K79">
        <v>-1.3891937E-2</v>
      </c>
      <c r="L79">
        <v>3.2521700799999997E-2</v>
      </c>
      <c r="M79">
        <v>0.29699999999999999</v>
      </c>
      <c r="N79">
        <v>1</v>
      </c>
    </row>
    <row r="80" spans="1:14" x14ac:dyDescent="0.25">
      <c r="A80" t="s">
        <v>142</v>
      </c>
      <c r="B80" t="s">
        <v>165</v>
      </c>
      <c r="C80" t="s">
        <v>13</v>
      </c>
      <c r="D80">
        <v>1</v>
      </c>
      <c r="E80">
        <v>1000</v>
      </c>
      <c r="F80">
        <v>-4.7992999999999997</v>
      </c>
      <c r="G80">
        <v>-4.6008769999999997</v>
      </c>
      <c r="H80">
        <v>0.1984050758</v>
      </c>
      <c r="I80">
        <v>0.54642800000000002</v>
      </c>
      <c r="J80">
        <v>0.55186900000000005</v>
      </c>
      <c r="K80">
        <v>9.9577473E-3</v>
      </c>
      <c r="L80">
        <v>-4.1340575999999997E-2</v>
      </c>
      <c r="M80">
        <v>0.94</v>
      </c>
      <c r="N80">
        <v>1</v>
      </c>
    </row>
    <row r="81" spans="1:14" x14ac:dyDescent="0.25">
      <c r="A81" t="s">
        <v>142</v>
      </c>
      <c r="B81" t="s">
        <v>165</v>
      </c>
      <c r="C81" t="s">
        <v>14</v>
      </c>
      <c r="D81">
        <v>1</v>
      </c>
      <c r="E81">
        <v>1000</v>
      </c>
      <c r="F81">
        <v>8.7021999999999995</v>
      </c>
      <c r="G81">
        <v>6.0541660000000004</v>
      </c>
      <c r="H81">
        <v>-2.6480411500000001</v>
      </c>
      <c r="I81">
        <v>0.34844599999999998</v>
      </c>
      <c r="J81">
        <v>0.34387000000000001</v>
      </c>
      <c r="K81">
        <v>-1.3133371E-2</v>
      </c>
      <c r="L81">
        <v>-0.304295341</v>
      </c>
      <c r="M81">
        <v>0</v>
      </c>
      <c r="N81">
        <v>1</v>
      </c>
    </row>
    <row r="82" spans="1:14" x14ac:dyDescent="0.25">
      <c r="A82" t="s">
        <v>142</v>
      </c>
      <c r="B82" t="s">
        <v>165</v>
      </c>
      <c r="C82" t="s">
        <v>15</v>
      </c>
      <c r="D82">
        <v>1</v>
      </c>
      <c r="E82">
        <v>1000</v>
      </c>
      <c r="F82">
        <v>-1.5806</v>
      </c>
      <c r="G82">
        <v>-2.335839</v>
      </c>
      <c r="H82">
        <v>-0.75521354799999996</v>
      </c>
      <c r="I82">
        <v>0.348916</v>
      </c>
      <c r="J82">
        <v>0.34393099999999999</v>
      </c>
      <c r="K82">
        <v>-1.4285968E-2</v>
      </c>
      <c r="L82">
        <v>0.47779398020000002</v>
      </c>
      <c r="M82">
        <v>0.42299999999999999</v>
      </c>
      <c r="N82">
        <v>1</v>
      </c>
    </row>
    <row r="83" spans="1:14" x14ac:dyDescent="0.25">
      <c r="A83" t="s">
        <v>142</v>
      </c>
      <c r="B83" t="s">
        <v>165</v>
      </c>
      <c r="C83" t="s">
        <v>16</v>
      </c>
      <c r="D83">
        <v>1</v>
      </c>
      <c r="E83">
        <v>1000</v>
      </c>
      <c r="F83">
        <v>-7.7763999999999998</v>
      </c>
      <c r="G83">
        <v>-5.2502209999999998</v>
      </c>
      <c r="H83">
        <v>2.5262083476999999</v>
      </c>
      <c r="I83">
        <v>0.420879</v>
      </c>
      <c r="J83">
        <v>0.43474200000000002</v>
      </c>
      <c r="K83">
        <v>3.29388839E-2</v>
      </c>
      <c r="L83">
        <v>-0.32485455200000002</v>
      </c>
      <c r="M83">
        <v>0</v>
      </c>
      <c r="N83">
        <v>1</v>
      </c>
    </row>
    <row r="84" spans="1:14" x14ac:dyDescent="0.25">
      <c r="A84" t="s">
        <v>142</v>
      </c>
      <c r="B84" t="s">
        <v>165</v>
      </c>
      <c r="C84" t="s">
        <v>17</v>
      </c>
      <c r="D84">
        <v>1</v>
      </c>
      <c r="E84">
        <v>1000</v>
      </c>
      <c r="F84">
        <v>5.8643999999999998</v>
      </c>
      <c r="G84">
        <v>5.92699</v>
      </c>
      <c r="H84">
        <v>6.2579117899999995E-2</v>
      </c>
      <c r="I84">
        <v>2.7498999999999999E-2</v>
      </c>
      <c r="J84">
        <v>2.7351E-2</v>
      </c>
      <c r="K84">
        <v>-5.3644779999999998E-3</v>
      </c>
      <c r="L84">
        <v>1.0670998399999999E-2</v>
      </c>
      <c r="M84">
        <v>0.35899999999999999</v>
      </c>
      <c r="N84">
        <v>1</v>
      </c>
    </row>
    <row r="85" spans="1:14" x14ac:dyDescent="0.25">
      <c r="A85" t="s">
        <v>142</v>
      </c>
      <c r="B85" t="s">
        <v>165</v>
      </c>
      <c r="C85" t="s">
        <v>18</v>
      </c>
      <c r="D85">
        <v>1</v>
      </c>
      <c r="E85">
        <v>1000</v>
      </c>
      <c r="F85">
        <v>3.2099999999999997E-2</v>
      </c>
      <c r="G85">
        <v>4.2994999999999998E-2</v>
      </c>
      <c r="H85">
        <v>1.0886316700000001E-2</v>
      </c>
      <c r="I85">
        <v>1.5391999999999999E-2</v>
      </c>
      <c r="J85">
        <v>1.5321E-2</v>
      </c>
      <c r="K85">
        <v>-4.6136880000000003E-3</v>
      </c>
      <c r="L85">
        <v>0.33904895070000002</v>
      </c>
      <c r="M85">
        <v>0.874</v>
      </c>
      <c r="N85">
        <v>0.80300000000000005</v>
      </c>
    </row>
    <row r="86" spans="1:14" x14ac:dyDescent="0.25">
      <c r="A86" t="s">
        <v>142</v>
      </c>
      <c r="B86" t="s">
        <v>345</v>
      </c>
      <c r="C86" t="s">
        <v>12</v>
      </c>
      <c r="D86">
        <v>1</v>
      </c>
      <c r="E86">
        <v>1000</v>
      </c>
      <c r="F86">
        <v>106.8125</v>
      </c>
      <c r="G86">
        <v>111.009703</v>
      </c>
      <c r="H86">
        <v>4.1972462187000001</v>
      </c>
      <c r="I86">
        <v>1.4167080000000001</v>
      </c>
      <c r="J86">
        <v>1.4090609999999999</v>
      </c>
      <c r="K86">
        <v>-5.3975350000000002E-3</v>
      </c>
      <c r="L86">
        <v>3.9295475000000003E-2</v>
      </c>
      <c r="M86">
        <v>0.152</v>
      </c>
      <c r="N86">
        <v>1</v>
      </c>
    </row>
    <row r="87" spans="1:14" x14ac:dyDescent="0.25">
      <c r="A87" t="s">
        <v>142</v>
      </c>
      <c r="B87" t="s">
        <v>345</v>
      </c>
      <c r="C87" t="s">
        <v>13</v>
      </c>
      <c r="D87">
        <v>1</v>
      </c>
      <c r="E87">
        <v>1000</v>
      </c>
      <c r="F87">
        <v>-4.7992999999999997</v>
      </c>
      <c r="G87">
        <v>-4.766832</v>
      </c>
      <c r="H87">
        <v>3.24499756E-2</v>
      </c>
      <c r="I87">
        <v>0.57059400000000005</v>
      </c>
      <c r="J87">
        <v>0.56202700000000005</v>
      </c>
      <c r="K87">
        <v>-1.5013989E-2</v>
      </c>
      <c r="L87">
        <v>-6.7614229999999999E-3</v>
      </c>
      <c r="M87">
        <v>0.94799999999999995</v>
      </c>
      <c r="N87">
        <v>1</v>
      </c>
    </row>
    <row r="88" spans="1:14" x14ac:dyDescent="0.25">
      <c r="A88" t="s">
        <v>142</v>
      </c>
      <c r="B88" t="s">
        <v>345</v>
      </c>
      <c r="C88" t="s">
        <v>14</v>
      </c>
      <c r="D88">
        <v>1</v>
      </c>
      <c r="E88">
        <v>1000</v>
      </c>
      <c r="F88">
        <v>8.7021999999999995</v>
      </c>
      <c r="G88">
        <v>6.0674619999999999</v>
      </c>
      <c r="H88">
        <v>-2.6347449140000001</v>
      </c>
      <c r="I88">
        <v>0.365257</v>
      </c>
      <c r="J88">
        <v>0.350943</v>
      </c>
      <c r="K88">
        <v>-3.9188501000000001E-2</v>
      </c>
      <c r="L88">
        <v>-0.30276742499999998</v>
      </c>
      <c r="M88">
        <v>0</v>
      </c>
      <c r="N88">
        <v>1</v>
      </c>
    </row>
    <row r="89" spans="1:14" x14ac:dyDescent="0.25">
      <c r="A89" t="s">
        <v>142</v>
      </c>
      <c r="B89" t="s">
        <v>345</v>
      </c>
      <c r="C89" t="s">
        <v>15</v>
      </c>
      <c r="D89">
        <v>1</v>
      </c>
      <c r="E89">
        <v>1000</v>
      </c>
      <c r="F89">
        <v>-1.5806</v>
      </c>
      <c r="G89">
        <v>-2.4339080000000002</v>
      </c>
      <c r="H89">
        <v>-0.85328250500000002</v>
      </c>
      <c r="I89">
        <v>0.34596500000000002</v>
      </c>
      <c r="J89">
        <v>0.35034300000000002</v>
      </c>
      <c r="K89">
        <v>1.2654863299999999E-2</v>
      </c>
      <c r="L89">
        <v>0.5398383618</v>
      </c>
      <c r="M89">
        <v>0.31</v>
      </c>
      <c r="N89">
        <v>1</v>
      </c>
    </row>
    <row r="90" spans="1:14" x14ac:dyDescent="0.25">
      <c r="A90" t="s">
        <v>142</v>
      </c>
      <c r="B90" t="s">
        <v>345</v>
      </c>
      <c r="C90" t="s">
        <v>16</v>
      </c>
      <c r="D90">
        <v>1</v>
      </c>
      <c r="E90">
        <v>1000</v>
      </c>
      <c r="F90">
        <v>-7.7763999999999998</v>
      </c>
      <c r="G90">
        <v>-5.5366669999999996</v>
      </c>
      <c r="H90">
        <v>2.2397620293</v>
      </c>
      <c r="I90">
        <v>0.43693799999999999</v>
      </c>
      <c r="J90">
        <v>0.435367</v>
      </c>
      <c r="K90">
        <v>-3.5964590000000002E-3</v>
      </c>
      <c r="L90">
        <v>-0.28801935099999998</v>
      </c>
      <c r="M90">
        <v>1E-3</v>
      </c>
      <c r="N90">
        <v>1</v>
      </c>
    </row>
    <row r="91" spans="1:14" x14ac:dyDescent="0.25">
      <c r="A91" t="s">
        <v>142</v>
      </c>
      <c r="B91" t="s">
        <v>345</v>
      </c>
      <c r="C91" t="s">
        <v>17</v>
      </c>
      <c r="D91">
        <v>1</v>
      </c>
      <c r="E91">
        <v>1000</v>
      </c>
      <c r="F91">
        <v>5.8643999999999998</v>
      </c>
      <c r="G91">
        <v>5.9269660000000002</v>
      </c>
      <c r="H91">
        <v>6.2554789999999999E-2</v>
      </c>
      <c r="I91">
        <v>2.545E-2</v>
      </c>
      <c r="J91">
        <v>2.6532E-2</v>
      </c>
      <c r="K91">
        <v>4.2536414500000001E-2</v>
      </c>
      <c r="L91">
        <v>1.066685E-2</v>
      </c>
      <c r="M91">
        <v>0.34</v>
      </c>
      <c r="N91">
        <v>1</v>
      </c>
    </row>
    <row r="92" spans="1:14" x14ac:dyDescent="0.25">
      <c r="A92" t="s">
        <v>142</v>
      </c>
      <c r="B92" t="s">
        <v>345</v>
      </c>
      <c r="C92" t="s">
        <v>18</v>
      </c>
      <c r="D92">
        <v>1</v>
      </c>
      <c r="E92">
        <v>1000</v>
      </c>
      <c r="F92">
        <v>3.2099999999999997E-2</v>
      </c>
      <c r="G92">
        <v>4.0479000000000001E-2</v>
      </c>
      <c r="H92">
        <v>8.3707543999999995E-3</v>
      </c>
      <c r="I92">
        <v>1.5606999999999999E-2</v>
      </c>
      <c r="J92">
        <v>1.553E-2</v>
      </c>
      <c r="K92">
        <v>-4.9671760000000002E-3</v>
      </c>
      <c r="L92">
        <v>0.26070300610000002</v>
      </c>
      <c r="M92">
        <v>0.91300000000000003</v>
      </c>
      <c r="N92">
        <v>0.73599999999999999</v>
      </c>
    </row>
    <row r="93" spans="1:14" x14ac:dyDescent="0.25">
      <c r="A93" t="s">
        <v>142</v>
      </c>
      <c r="B93" t="s">
        <v>346</v>
      </c>
      <c r="C93" t="s">
        <v>12</v>
      </c>
      <c r="D93">
        <v>1</v>
      </c>
      <c r="E93">
        <v>1000</v>
      </c>
      <c r="F93">
        <v>106.8125</v>
      </c>
      <c r="G93">
        <v>111.009703</v>
      </c>
      <c r="H93">
        <v>4.1972462187000001</v>
      </c>
      <c r="I93">
        <v>1.4167080000000001</v>
      </c>
      <c r="J93">
        <v>1.4090609999999999</v>
      </c>
      <c r="K93">
        <v>-5.3975350000000002E-3</v>
      </c>
      <c r="L93">
        <v>3.9295475000000003E-2</v>
      </c>
      <c r="M93">
        <v>0.152</v>
      </c>
      <c r="N93">
        <v>1</v>
      </c>
    </row>
    <row r="94" spans="1:14" x14ac:dyDescent="0.25">
      <c r="A94" t="s">
        <v>142</v>
      </c>
      <c r="B94" t="s">
        <v>346</v>
      </c>
      <c r="C94" t="s">
        <v>13</v>
      </c>
      <c r="D94">
        <v>1</v>
      </c>
      <c r="E94">
        <v>1000</v>
      </c>
      <c r="F94">
        <v>-4.7992999999999997</v>
      </c>
      <c r="G94">
        <v>-4.766832</v>
      </c>
      <c r="H94">
        <v>3.24499756E-2</v>
      </c>
      <c r="I94">
        <v>0.57059400000000005</v>
      </c>
      <c r="J94">
        <v>0.56202700000000005</v>
      </c>
      <c r="K94">
        <v>-1.5013989E-2</v>
      </c>
      <c r="L94">
        <v>-6.7614229999999999E-3</v>
      </c>
      <c r="M94">
        <v>0.94799999999999995</v>
      </c>
      <c r="N94">
        <v>1</v>
      </c>
    </row>
    <row r="95" spans="1:14" x14ac:dyDescent="0.25">
      <c r="A95" t="s">
        <v>142</v>
      </c>
      <c r="B95" t="s">
        <v>346</v>
      </c>
      <c r="C95" t="s">
        <v>14</v>
      </c>
      <c r="D95">
        <v>1</v>
      </c>
      <c r="E95">
        <v>1000</v>
      </c>
      <c r="F95">
        <v>8.7021999999999995</v>
      </c>
      <c r="G95">
        <v>6.0674619999999999</v>
      </c>
      <c r="H95">
        <v>-2.6347449140000001</v>
      </c>
      <c r="I95">
        <v>0.365257</v>
      </c>
      <c r="J95">
        <v>0.350943</v>
      </c>
      <c r="K95">
        <v>-3.9188501000000001E-2</v>
      </c>
      <c r="L95">
        <v>-0.30276742499999998</v>
      </c>
      <c r="M95">
        <v>0</v>
      </c>
      <c r="N95">
        <v>1</v>
      </c>
    </row>
    <row r="96" spans="1:14" x14ac:dyDescent="0.25">
      <c r="A96" t="s">
        <v>142</v>
      </c>
      <c r="B96" t="s">
        <v>346</v>
      </c>
      <c r="C96" t="s">
        <v>15</v>
      </c>
      <c r="D96">
        <v>1</v>
      </c>
      <c r="E96">
        <v>1000</v>
      </c>
      <c r="F96">
        <v>-1.5806</v>
      </c>
      <c r="G96">
        <v>-2.4339080000000002</v>
      </c>
      <c r="H96">
        <v>-0.85328250500000002</v>
      </c>
      <c r="I96">
        <v>0.34596500000000002</v>
      </c>
      <c r="J96">
        <v>0.35034300000000002</v>
      </c>
      <c r="K96">
        <v>1.2654863299999999E-2</v>
      </c>
      <c r="L96">
        <v>0.5398383618</v>
      </c>
      <c r="M96">
        <v>0.31</v>
      </c>
      <c r="N96">
        <v>1</v>
      </c>
    </row>
    <row r="97" spans="1:14" x14ac:dyDescent="0.25">
      <c r="A97" t="s">
        <v>142</v>
      </c>
      <c r="B97" t="s">
        <v>346</v>
      </c>
      <c r="C97" t="s">
        <v>16</v>
      </c>
      <c r="D97">
        <v>1</v>
      </c>
      <c r="E97">
        <v>1000</v>
      </c>
      <c r="F97">
        <v>-7.7763999999999998</v>
      </c>
      <c r="G97">
        <v>-5.5366669999999996</v>
      </c>
      <c r="H97">
        <v>2.2397620293</v>
      </c>
      <c r="I97">
        <v>0.43693799999999999</v>
      </c>
      <c r="J97">
        <v>0.435367</v>
      </c>
      <c r="K97">
        <v>-3.5964590000000002E-3</v>
      </c>
      <c r="L97">
        <v>-0.28801935099999998</v>
      </c>
      <c r="M97">
        <v>1E-3</v>
      </c>
      <c r="N97">
        <v>1</v>
      </c>
    </row>
    <row r="98" spans="1:14" x14ac:dyDescent="0.25">
      <c r="A98" t="s">
        <v>142</v>
      </c>
      <c r="B98" t="s">
        <v>346</v>
      </c>
      <c r="C98" t="s">
        <v>17</v>
      </c>
      <c r="D98">
        <v>1</v>
      </c>
      <c r="E98">
        <v>1000</v>
      </c>
      <c r="F98">
        <v>5.8643999999999998</v>
      </c>
      <c r="G98">
        <v>5.9269660000000002</v>
      </c>
      <c r="H98">
        <v>6.2554789999999999E-2</v>
      </c>
      <c r="I98">
        <v>2.545E-2</v>
      </c>
      <c r="J98">
        <v>2.6532E-2</v>
      </c>
      <c r="K98">
        <v>4.2536414500000001E-2</v>
      </c>
      <c r="L98">
        <v>1.066685E-2</v>
      </c>
      <c r="M98">
        <v>0.34</v>
      </c>
      <c r="N98">
        <v>1</v>
      </c>
    </row>
    <row r="99" spans="1:14" x14ac:dyDescent="0.25">
      <c r="A99" t="s">
        <v>142</v>
      </c>
      <c r="B99" t="s">
        <v>346</v>
      </c>
      <c r="C99" t="s">
        <v>18</v>
      </c>
      <c r="D99">
        <v>1</v>
      </c>
      <c r="E99">
        <v>1000</v>
      </c>
      <c r="F99">
        <v>3.2099999999999997E-2</v>
      </c>
      <c r="G99">
        <v>4.0479000000000001E-2</v>
      </c>
      <c r="H99">
        <v>8.3707543999999995E-3</v>
      </c>
      <c r="I99">
        <v>1.5606999999999999E-2</v>
      </c>
      <c r="J99">
        <v>1.553E-2</v>
      </c>
      <c r="K99">
        <v>-4.9671760000000002E-3</v>
      </c>
      <c r="L99">
        <v>0.26070300610000002</v>
      </c>
      <c r="M99">
        <v>0.91300000000000003</v>
      </c>
      <c r="N99">
        <v>0.73599999999999999</v>
      </c>
    </row>
    <row r="100" spans="1:14" x14ac:dyDescent="0.25">
      <c r="A100" t="s">
        <v>142</v>
      </c>
      <c r="B100" t="s">
        <v>347</v>
      </c>
      <c r="C100" t="s">
        <v>12</v>
      </c>
      <c r="D100">
        <v>1</v>
      </c>
      <c r="E100">
        <v>1000</v>
      </c>
      <c r="F100">
        <v>3.1539000000000001</v>
      </c>
      <c r="G100">
        <v>2.8935010000000001</v>
      </c>
      <c r="H100">
        <v>-0.26038685499999997</v>
      </c>
      <c r="I100">
        <v>0.17016899999999999</v>
      </c>
      <c r="J100">
        <v>0.16570199999999999</v>
      </c>
      <c r="K100">
        <v>-2.6255193E-2</v>
      </c>
      <c r="L100">
        <v>-8.2560587000000005E-2</v>
      </c>
      <c r="M100">
        <v>0.625</v>
      </c>
      <c r="N100">
        <v>1</v>
      </c>
    </row>
    <row r="101" spans="1:14" x14ac:dyDescent="0.25">
      <c r="A101" t="s">
        <v>142</v>
      </c>
      <c r="B101" t="s">
        <v>347</v>
      </c>
      <c r="C101" t="s">
        <v>13</v>
      </c>
      <c r="D101">
        <v>1</v>
      </c>
      <c r="E101">
        <v>1000</v>
      </c>
      <c r="F101">
        <v>-0.434</v>
      </c>
      <c r="G101">
        <v>-0.41435899999999998</v>
      </c>
      <c r="H101">
        <v>1.96013232E-2</v>
      </c>
      <c r="I101">
        <v>6.5706000000000001E-2</v>
      </c>
      <c r="J101">
        <v>6.4047999999999994E-2</v>
      </c>
      <c r="K101">
        <v>-2.5231282000000001E-2</v>
      </c>
      <c r="L101">
        <v>-4.5168499000000001E-2</v>
      </c>
      <c r="M101">
        <v>0.93500000000000005</v>
      </c>
      <c r="N101">
        <v>1</v>
      </c>
    </row>
    <row r="102" spans="1:14" x14ac:dyDescent="0.25">
      <c r="A102" t="s">
        <v>142</v>
      </c>
      <c r="B102" t="s">
        <v>347</v>
      </c>
      <c r="C102" t="s">
        <v>14</v>
      </c>
      <c r="D102">
        <v>1</v>
      </c>
      <c r="E102">
        <v>1000</v>
      </c>
      <c r="F102">
        <v>-7.6E-3</v>
      </c>
      <c r="G102">
        <v>-7.1739999999999998E-3</v>
      </c>
      <c r="H102">
        <v>4.442432E-4</v>
      </c>
      <c r="I102">
        <v>3.8261000000000003E-2</v>
      </c>
      <c r="J102">
        <v>3.9005999999999999E-2</v>
      </c>
      <c r="K102">
        <v>1.94824462E-2</v>
      </c>
      <c r="L102">
        <v>-5.8314853999999999E-2</v>
      </c>
      <c r="M102">
        <v>0.95599999999999996</v>
      </c>
      <c r="N102">
        <v>4.5999999999999999E-2</v>
      </c>
    </row>
    <row r="103" spans="1:14" x14ac:dyDescent="0.25">
      <c r="A103" t="s">
        <v>142</v>
      </c>
      <c r="B103" t="s">
        <v>347</v>
      </c>
      <c r="C103" t="s">
        <v>15</v>
      </c>
      <c r="D103">
        <v>1</v>
      </c>
      <c r="E103">
        <v>1000</v>
      </c>
      <c r="F103">
        <v>-0.4551</v>
      </c>
      <c r="G103">
        <v>-0.40143200000000001</v>
      </c>
      <c r="H103">
        <v>5.3700006600000003E-2</v>
      </c>
      <c r="I103">
        <v>4.0412999999999998E-2</v>
      </c>
      <c r="J103">
        <v>4.0157999999999999E-2</v>
      </c>
      <c r="K103">
        <v>-6.312336E-3</v>
      </c>
      <c r="L103">
        <v>-0.11798779099999999</v>
      </c>
      <c r="M103">
        <v>0.71599999999999997</v>
      </c>
      <c r="N103">
        <v>1</v>
      </c>
    </row>
    <row r="104" spans="1:14" x14ac:dyDescent="0.25">
      <c r="A104" t="s">
        <v>142</v>
      </c>
      <c r="B104" t="s">
        <v>347</v>
      </c>
      <c r="C104" t="s">
        <v>16</v>
      </c>
      <c r="D104">
        <v>1</v>
      </c>
      <c r="E104">
        <v>1000</v>
      </c>
      <c r="F104">
        <v>-8.0399999999999999E-2</v>
      </c>
      <c r="G104">
        <v>-0.13131000000000001</v>
      </c>
      <c r="H104">
        <v>-5.0903087999999999E-2</v>
      </c>
      <c r="I104">
        <v>5.0317000000000001E-2</v>
      </c>
      <c r="J104">
        <v>5.0610000000000002E-2</v>
      </c>
      <c r="K104">
        <v>5.8250341000000002E-3</v>
      </c>
      <c r="L104">
        <v>0.63307152889999996</v>
      </c>
      <c r="M104">
        <v>0.83099999999999996</v>
      </c>
      <c r="N104">
        <v>0.73499999999999999</v>
      </c>
    </row>
    <row r="105" spans="1:14" x14ac:dyDescent="0.25">
      <c r="A105" t="s">
        <v>142</v>
      </c>
      <c r="B105" t="s">
        <v>347</v>
      </c>
      <c r="C105" t="s">
        <v>17</v>
      </c>
      <c r="D105">
        <v>1</v>
      </c>
      <c r="E105">
        <v>1000</v>
      </c>
      <c r="F105">
        <v>-0.1255</v>
      </c>
      <c r="G105">
        <v>-0.13670599999999999</v>
      </c>
      <c r="H105">
        <v>-1.1241421E-2</v>
      </c>
      <c r="I105">
        <v>4.2810000000000001E-3</v>
      </c>
      <c r="J105">
        <v>4.2220000000000001E-3</v>
      </c>
      <c r="K105">
        <v>-1.3607717E-2</v>
      </c>
      <c r="L105">
        <v>8.9598243499999994E-2</v>
      </c>
      <c r="M105">
        <v>0.255</v>
      </c>
      <c r="N105">
        <v>1</v>
      </c>
    </row>
    <row r="106" spans="1:14" x14ac:dyDescent="0.25">
      <c r="A106" t="s">
        <v>142</v>
      </c>
      <c r="B106" t="s">
        <v>347</v>
      </c>
      <c r="C106" t="s">
        <v>18</v>
      </c>
      <c r="D106">
        <v>1</v>
      </c>
      <c r="E106">
        <v>1000</v>
      </c>
      <c r="F106">
        <v>-1.1999999999999999E-3</v>
      </c>
      <c r="G106">
        <v>-7.6400000000000003E-4</v>
      </c>
      <c r="H106">
        <v>4.2824280000000001E-4</v>
      </c>
      <c r="I106">
        <v>2.1800000000000001E-3</v>
      </c>
      <c r="J106">
        <v>2.1199999999999999E-3</v>
      </c>
      <c r="K106">
        <v>-2.7482093999999999E-2</v>
      </c>
      <c r="L106">
        <v>-0.35915405099999997</v>
      </c>
      <c r="M106">
        <v>0.93200000000000005</v>
      </c>
      <c r="N106">
        <v>6.9000000000000006E-2</v>
      </c>
    </row>
    <row r="107" spans="1:14" x14ac:dyDescent="0.25">
      <c r="A107" t="s">
        <v>142</v>
      </c>
      <c r="B107" t="s">
        <v>348</v>
      </c>
      <c r="C107" t="s">
        <v>12</v>
      </c>
      <c r="D107">
        <v>1</v>
      </c>
      <c r="E107">
        <v>1000</v>
      </c>
      <c r="F107">
        <v>3.1539000000000001</v>
      </c>
      <c r="G107">
        <v>2.8935010000000001</v>
      </c>
      <c r="H107">
        <v>-0.26038685499999997</v>
      </c>
      <c r="I107">
        <v>0.17016899999999999</v>
      </c>
      <c r="J107">
        <v>0.16570199999999999</v>
      </c>
      <c r="K107">
        <v>-2.6255193E-2</v>
      </c>
      <c r="L107">
        <v>-8.2560587000000005E-2</v>
      </c>
      <c r="M107">
        <v>0.625</v>
      </c>
      <c r="N107">
        <v>1</v>
      </c>
    </row>
    <row r="108" spans="1:14" x14ac:dyDescent="0.25">
      <c r="A108" t="s">
        <v>142</v>
      </c>
      <c r="B108" t="s">
        <v>348</v>
      </c>
      <c r="C108" t="s">
        <v>13</v>
      </c>
      <c r="D108">
        <v>1</v>
      </c>
      <c r="E108">
        <v>1000</v>
      </c>
      <c r="F108">
        <v>-0.434</v>
      </c>
      <c r="G108">
        <v>-0.41435899999999998</v>
      </c>
      <c r="H108">
        <v>1.96013232E-2</v>
      </c>
      <c r="I108">
        <v>6.5706000000000001E-2</v>
      </c>
      <c r="J108">
        <v>6.4047999999999994E-2</v>
      </c>
      <c r="K108">
        <v>-2.5231282000000001E-2</v>
      </c>
      <c r="L108">
        <v>-4.5168499000000001E-2</v>
      </c>
      <c r="M108">
        <v>0.93500000000000005</v>
      </c>
      <c r="N108">
        <v>1</v>
      </c>
    </row>
    <row r="109" spans="1:14" x14ac:dyDescent="0.25">
      <c r="A109" t="s">
        <v>142</v>
      </c>
      <c r="B109" t="s">
        <v>348</v>
      </c>
      <c r="C109" t="s">
        <v>14</v>
      </c>
      <c r="D109">
        <v>1</v>
      </c>
      <c r="E109">
        <v>1000</v>
      </c>
      <c r="F109">
        <v>-7.6E-3</v>
      </c>
      <c r="G109">
        <v>-7.1739999999999998E-3</v>
      </c>
      <c r="H109">
        <v>4.442432E-4</v>
      </c>
      <c r="I109">
        <v>3.8261000000000003E-2</v>
      </c>
      <c r="J109">
        <v>3.9005999999999999E-2</v>
      </c>
      <c r="K109">
        <v>1.94824462E-2</v>
      </c>
      <c r="L109">
        <v>-5.8314853999999999E-2</v>
      </c>
      <c r="M109">
        <v>0.95599999999999996</v>
      </c>
      <c r="N109">
        <v>4.5999999999999999E-2</v>
      </c>
    </row>
    <row r="110" spans="1:14" x14ac:dyDescent="0.25">
      <c r="A110" t="s">
        <v>142</v>
      </c>
      <c r="B110" t="s">
        <v>348</v>
      </c>
      <c r="C110" t="s">
        <v>15</v>
      </c>
      <c r="D110">
        <v>1</v>
      </c>
      <c r="E110">
        <v>1000</v>
      </c>
      <c r="F110">
        <v>-0.4551</v>
      </c>
      <c r="G110">
        <v>-0.40143200000000001</v>
      </c>
      <c r="H110">
        <v>5.3700006600000003E-2</v>
      </c>
      <c r="I110">
        <v>4.0412999999999998E-2</v>
      </c>
      <c r="J110">
        <v>4.0157999999999999E-2</v>
      </c>
      <c r="K110">
        <v>-6.312336E-3</v>
      </c>
      <c r="L110">
        <v>-0.11798779099999999</v>
      </c>
      <c r="M110">
        <v>0.71599999999999997</v>
      </c>
      <c r="N110">
        <v>1</v>
      </c>
    </row>
    <row r="111" spans="1:14" x14ac:dyDescent="0.25">
      <c r="A111" t="s">
        <v>142</v>
      </c>
      <c r="B111" t="s">
        <v>348</v>
      </c>
      <c r="C111" t="s">
        <v>16</v>
      </c>
      <c r="D111">
        <v>1</v>
      </c>
      <c r="E111">
        <v>1000</v>
      </c>
      <c r="F111">
        <v>-8.0399999999999999E-2</v>
      </c>
      <c r="G111">
        <v>-0.13131000000000001</v>
      </c>
      <c r="H111">
        <v>-5.0903087999999999E-2</v>
      </c>
      <c r="I111">
        <v>5.0317000000000001E-2</v>
      </c>
      <c r="J111">
        <v>5.0610000000000002E-2</v>
      </c>
      <c r="K111">
        <v>5.8250341000000002E-3</v>
      </c>
      <c r="L111">
        <v>0.63307152889999996</v>
      </c>
      <c r="M111">
        <v>0.83099999999999996</v>
      </c>
      <c r="N111">
        <v>0.73499999999999999</v>
      </c>
    </row>
    <row r="112" spans="1:14" x14ac:dyDescent="0.25">
      <c r="A112" t="s">
        <v>142</v>
      </c>
      <c r="B112" t="s">
        <v>348</v>
      </c>
      <c r="C112" t="s">
        <v>17</v>
      </c>
      <c r="D112">
        <v>1</v>
      </c>
      <c r="E112">
        <v>1000</v>
      </c>
      <c r="F112">
        <v>-0.1255</v>
      </c>
      <c r="G112">
        <v>-0.13670599999999999</v>
      </c>
      <c r="H112">
        <v>-1.1241421E-2</v>
      </c>
      <c r="I112">
        <v>4.2810000000000001E-3</v>
      </c>
      <c r="J112">
        <v>4.2220000000000001E-3</v>
      </c>
      <c r="K112">
        <v>-1.3607717E-2</v>
      </c>
      <c r="L112">
        <v>8.9598243499999994E-2</v>
      </c>
      <c r="M112">
        <v>0.255</v>
      </c>
      <c r="N112">
        <v>1</v>
      </c>
    </row>
    <row r="113" spans="1:14" x14ac:dyDescent="0.25">
      <c r="A113" t="s">
        <v>142</v>
      </c>
      <c r="B113" t="s">
        <v>348</v>
      </c>
      <c r="C113" t="s">
        <v>18</v>
      </c>
      <c r="D113">
        <v>1</v>
      </c>
      <c r="E113">
        <v>1000</v>
      </c>
      <c r="F113">
        <v>-1.1999999999999999E-3</v>
      </c>
      <c r="G113">
        <v>-7.6400000000000003E-4</v>
      </c>
      <c r="H113">
        <v>4.2824280000000001E-4</v>
      </c>
      <c r="I113">
        <v>2.1800000000000001E-3</v>
      </c>
      <c r="J113">
        <v>2.1199999999999999E-3</v>
      </c>
      <c r="K113">
        <v>-2.7482093999999999E-2</v>
      </c>
      <c r="L113">
        <v>-0.35915405099999997</v>
      </c>
      <c r="M113">
        <v>0.93200000000000005</v>
      </c>
      <c r="N113">
        <v>6.9000000000000006E-2</v>
      </c>
    </row>
    <row r="114" spans="1:14" x14ac:dyDescent="0.25">
      <c r="A114" t="s">
        <v>142</v>
      </c>
      <c r="B114" t="s">
        <v>349</v>
      </c>
      <c r="C114" t="s">
        <v>12</v>
      </c>
      <c r="D114">
        <v>1</v>
      </c>
      <c r="E114">
        <v>1000</v>
      </c>
      <c r="F114">
        <v>3.1539000000000001</v>
      </c>
      <c r="G114">
        <v>3.0130170000000001</v>
      </c>
      <c r="H114">
        <v>-0.14087112800000001</v>
      </c>
      <c r="I114">
        <v>0.17347899999999999</v>
      </c>
      <c r="J114">
        <v>0.16761100000000001</v>
      </c>
      <c r="K114">
        <v>-3.3829123000000003E-2</v>
      </c>
      <c r="L114">
        <v>-4.4665861000000001E-2</v>
      </c>
      <c r="M114">
        <v>0.86</v>
      </c>
      <c r="N114">
        <v>1</v>
      </c>
    </row>
    <row r="115" spans="1:14" x14ac:dyDescent="0.25">
      <c r="A115" t="s">
        <v>142</v>
      </c>
      <c r="B115" t="s">
        <v>349</v>
      </c>
      <c r="C115" t="s">
        <v>13</v>
      </c>
      <c r="D115">
        <v>1</v>
      </c>
      <c r="E115">
        <v>1000</v>
      </c>
      <c r="F115">
        <v>-0.434</v>
      </c>
      <c r="G115">
        <v>-0.44242399999999998</v>
      </c>
      <c r="H115">
        <v>-8.4644300000000002E-3</v>
      </c>
      <c r="I115">
        <v>6.8055000000000004E-2</v>
      </c>
      <c r="J115">
        <v>6.4460000000000003E-2</v>
      </c>
      <c r="K115">
        <v>-5.2824844000000003E-2</v>
      </c>
      <c r="L115">
        <v>1.9505092200000001E-2</v>
      </c>
      <c r="M115">
        <v>0.93300000000000005</v>
      </c>
      <c r="N115">
        <v>1</v>
      </c>
    </row>
    <row r="116" spans="1:14" x14ac:dyDescent="0.25">
      <c r="A116" t="s">
        <v>142</v>
      </c>
      <c r="B116" t="s">
        <v>349</v>
      </c>
      <c r="C116" t="s">
        <v>14</v>
      </c>
      <c r="D116">
        <v>1</v>
      </c>
      <c r="E116">
        <v>1000</v>
      </c>
      <c r="F116">
        <v>-7.6E-3</v>
      </c>
      <c r="G116">
        <v>-7.7499999999999997E-4</v>
      </c>
      <c r="H116">
        <v>6.8426551E-3</v>
      </c>
      <c r="I116">
        <v>3.8975999999999997E-2</v>
      </c>
      <c r="J116">
        <v>3.9465E-2</v>
      </c>
      <c r="K116">
        <v>1.2538955900000001E-2</v>
      </c>
      <c r="L116">
        <v>-0.89822068700000002</v>
      </c>
      <c r="M116">
        <v>0.94699999999999995</v>
      </c>
      <c r="N116">
        <v>5.1999999999999998E-2</v>
      </c>
    </row>
    <row r="117" spans="1:14" x14ac:dyDescent="0.25">
      <c r="A117" t="s">
        <v>142</v>
      </c>
      <c r="B117" t="s">
        <v>349</v>
      </c>
      <c r="C117" t="s">
        <v>15</v>
      </c>
      <c r="D117">
        <v>1</v>
      </c>
      <c r="E117">
        <v>1000</v>
      </c>
      <c r="F117">
        <v>-0.4551</v>
      </c>
      <c r="G117">
        <v>-0.419711</v>
      </c>
      <c r="H117">
        <v>3.54212338E-2</v>
      </c>
      <c r="I117">
        <v>4.1785999999999997E-2</v>
      </c>
      <c r="J117">
        <v>4.0502000000000003E-2</v>
      </c>
      <c r="K117">
        <v>-3.0738550999999999E-2</v>
      </c>
      <c r="L117">
        <v>-7.7826305999999998E-2</v>
      </c>
      <c r="M117">
        <v>0.85</v>
      </c>
      <c r="N117">
        <v>1</v>
      </c>
    </row>
    <row r="118" spans="1:14" x14ac:dyDescent="0.25">
      <c r="A118" t="s">
        <v>142</v>
      </c>
      <c r="B118" t="s">
        <v>349</v>
      </c>
      <c r="C118" t="s">
        <v>16</v>
      </c>
      <c r="D118">
        <v>1</v>
      </c>
      <c r="E118">
        <v>1000</v>
      </c>
      <c r="F118">
        <v>-8.0399999999999999E-2</v>
      </c>
      <c r="G118">
        <v>-0.10921400000000001</v>
      </c>
      <c r="H118">
        <v>-2.8807356999999999E-2</v>
      </c>
      <c r="I118">
        <v>5.0182999999999998E-2</v>
      </c>
      <c r="J118">
        <v>4.9716000000000003E-2</v>
      </c>
      <c r="K118">
        <v>-9.3225449999999998E-3</v>
      </c>
      <c r="L118">
        <v>0.35827134150000001</v>
      </c>
      <c r="M118">
        <v>0.90600000000000003</v>
      </c>
      <c r="N118">
        <v>0.61</v>
      </c>
    </row>
    <row r="119" spans="1:14" x14ac:dyDescent="0.25">
      <c r="A119" t="s">
        <v>142</v>
      </c>
      <c r="B119" t="s">
        <v>349</v>
      </c>
      <c r="C119" t="s">
        <v>17</v>
      </c>
      <c r="D119">
        <v>1</v>
      </c>
      <c r="E119">
        <v>1000</v>
      </c>
      <c r="F119">
        <v>-0.1255</v>
      </c>
      <c r="G119">
        <v>-0.120508</v>
      </c>
      <c r="H119">
        <v>4.9572009999999996E-3</v>
      </c>
      <c r="I119">
        <v>4.1159999999999999E-3</v>
      </c>
      <c r="J119">
        <v>4.1669999999999997E-3</v>
      </c>
      <c r="K119">
        <v>1.25585257E-2</v>
      </c>
      <c r="L119">
        <v>-3.9510706E-2</v>
      </c>
      <c r="M119">
        <v>0.76900000000000002</v>
      </c>
      <c r="N119">
        <v>1</v>
      </c>
    </row>
    <row r="120" spans="1:14" x14ac:dyDescent="0.25">
      <c r="A120" t="s">
        <v>142</v>
      </c>
      <c r="B120" t="s">
        <v>349</v>
      </c>
      <c r="C120" t="s">
        <v>18</v>
      </c>
      <c r="D120">
        <v>1</v>
      </c>
      <c r="E120">
        <v>1000</v>
      </c>
      <c r="F120">
        <v>-1.1999999999999999E-3</v>
      </c>
      <c r="G120">
        <v>-1.573E-3</v>
      </c>
      <c r="H120">
        <v>-3.8063799999999998E-4</v>
      </c>
      <c r="I120">
        <v>2.1380000000000001E-3</v>
      </c>
      <c r="J120">
        <v>2.1299999999999999E-3</v>
      </c>
      <c r="K120">
        <v>-3.6991250000000002E-3</v>
      </c>
      <c r="L120">
        <v>0.31922916600000001</v>
      </c>
      <c r="M120">
        <v>0.94399999999999995</v>
      </c>
      <c r="N120">
        <v>0.107</v>
      </c>
    </row>
    <row r="121" spans="1:14" x14ac:dyDescent="0.25">
      <c r="A121" t="s">
        <v>142</v>
      </c>
      <c r="B121" t="s">
        <v>350</v>
      </c>
      <c r="C121" t="s">
        <v>12</v>
      </c>
      <c r="D121">
        <v>1</v>
      </c>
      <c r="E121">
        <v>1000</v>
      </c>
      <c r="F121">
        <v>3.1539000000000001</v>
      </c>
      <c r="G121">
        <v>3.0130170000000001</v>
      </c>
      <c r="H121">
        <v>-0.14087112800000001</v>
      </c>
      <c r="I121">
        <v>0.17347899999999999</v>
      </c>
      <c r="J121">
        <v>0.16761100000000001</v>
      </c>
      <c r="K121">
        <v>-3.3829123000000003E-2</v>
      </c>
      <c r="L121">
        <v>-4.4665861000000001E-2</v>
      </c>
      <c r="M121">
        <v>0.86</v>
      </c>
      <c r="N121">
        <v>1</v>
      </c>
    </row>
    <row r="122" spans="1:14" x14ac:dyDescent="0.25">
      <c r="A122" t="s">
        <v>142</v>
      </c>
      <c r="B122" t="s">
        <v>350</v>
      </c>
      <c r="C122" t="s">
        <v>13</v>
      </c>
      <c r="D122">
        <v>1</v>
      </c>
      <c r="E122">
        <v>1000</v>
      </c>
      <c r="F122">
        <v>-0.434</v>
      </c>
      <c r="G122">
        <v>-0.44242399999999998</v>
      </c>
      <c r="H122">
        <v>-8.4644300000000002E-3</v>
      </c>
      <c r="I122">
        <v>6.8055000000000004E-2</v>
      </c>
      <c r="J122">
        <v>6.4460000000000003E-2</v>
      </c>
      <c r="K122">
        <v>-5.2824844000000003E-2</v>
      </c>
      <c r="L122">
        <v>1.9505092200000001E-2</v>
      </c>
      <c r="M122">
        <v>0.93300000000000005</v>
      </c>
      <c r="N122">
        <v>1</v>
      </c>
    </row>
    <row r="123" spans="1:14" x14ac:dyDescent="0.25">
      <c r="A123" t="s">
        <v>142</v>
      </c>
      <c r="B123" t="s">
        <v>350</v>
      </c>
      <c r="C123" t="s">
        <v>14</v>
      </c>
      <c r="D123">
        <v>1</v>
      </c>
      <c r="E123">
        <v>1000</v>
      </c>
      <c r="F123">
        <v>-7.6E-3</v>
      </c>
      <c r="G123">
        <v>-7.7499999999999997E-4</v>
      </c>
      <c r="H123">
        <v>6.8426551E-3</v>
      </c>
      <c r="I123">
        <v>3.8975999999999997E-2</v>
      </c>
      <c r="J123">
        <v>3.9465E-2</v>
      </c>
      <c r="K123">
        <v>1.2538955900000001E-2</v>
      </c>
      <c r="L123">
        <v>-0.89822068700000002</v>
      </c>
      <c r="M123">
        <v>0.94699999999999995</v>
      </c>
      <c r="N123">
        <v>5.1999999999999998E-2</v>
      </c>
    </row>
    <row r="124" spans="1:14" x14ac:dyDescent="0.25">
      <c r="A124" t="s">
        <v>142</v>
      </c>
      <c r="B124" t="s">
        <v>350</v>
      </c>
      <c r="C124" t="s">
        <v>15</v>
      </c>
      <c r="D124">
        <v>1</v>
      </c>
      <c r="E124">
        <v>1000</v>
      </c>
      <c r="F124">
        <v>-0.4551</v>
      </c>
      <c r="G124">
        <v>-0.419711</v>
      </c>
      <c r="H124">
        <v>3.54212338E-2</v>
      </c>
      <c r="I124">
        <v>4.1785999999999997E-2</v>
      </c>
      <c r="J124">
        <v>4.0502000000000003E-2</v>
      </c>
      <c r="K124">
        <v>-3.0738550999999999E-2</v>
      </c>
      <c r="L124">
        <v>-7.7826305999999998E-2</v>
      </c>
      <c r="M124">
        <v>0.85</v>
      </c>
      <c r="N124">
        <v>1</v>
      </c>
    </row>
    <row r="125" spans="1:14" x14ac:dyDescent="0.25">
      <c r="A125" t="s">
        <v>142</v>
      </c>
      <c r="B125" t="s">
        <v>350</v>
      </c>
      <c r="C125" t="s">
        <v>16</v>
      </c>
      <c r="D125">
        <v>1</v>
      </c>
      <c r="E125">
        <v>1000</v>
      </c>
      <c r="F125">
        <v>-8.0399999999999999E-2</v>
      </c>
      <c r="G125">
        <v>-0.10921400000000001</v>
      </c>
      <c r="H125">
        <v>-2.8807356999999999E-2</v>
      </c>
      <c r="I125">
        <v>5.0182999999999998E-2</v>
      </c>
      <c r="J125">
        <v>4.9716000000000003E-2</v>
      </c>
      <c r="K125">
        <v>-9.3225449999999998E-3</v>
      </c>
      <c r="L125">
        <v>0.35827134150000001</v>
      </c>
      <c r="M125">
        <v>0.90600000000000003</v>
      </c>
      <c r="N125">
        <v>0.61</v>
      </c>
    </row>
    <row r="126" spans="1:14" x14ac:dyDescent="0.25">
      <c r="A126" t="s">
        <v>142</v>
      </c>
      <c r="B126" t="s">
        <v>350</v>
      </c>
      <c r="C126" t="s">
        <v>17</v>
      </c>
      <c r="D126">
        <v>1</v>
      </c>
      <c r="E126">
        <v>1000</v>
      </c>
      <c r="F126">
        <v>-0.1255</v>
      </c>
      <c r="G126">
        <v>-0.120508</v>
      </c>
      <c r="H126">
        <v>4.9572009999999996E-3</v>
      </c>
      <c r="I126">
        <v>4.1159999999999999E-3</v>
      </c>
      <c r="J126">
        <v>4.1669999999999997E-3</v>
      </c>
      <c r="K126">
        <v>1.25585257E-2</v>
      </c>
      <c r="L126">
        <v>-3.9510706E-2</v>
      </c>
      <c r="M126">
        <v>0.76900000000000002</v>
      </c>
      <c r="N126">
        <v>1</v>
      </c>
    </row>
    <row r="127" spans="1:14" x14ac:dyDescent="0.25">
      <c r="A127" t="s">
        <v>142</v>
      </c>
      <c r="B127" t="s">
        <v>350</v>
      </c>
      <c r="C127" t="s">
        <v>18</v>
      </c>
      <c r="D127">
        <v>1</v>
      </c>
      <c r="E127">
        <v>1000</v>
      </c>
      <c r="F127">
        <v>-1.1999999999999999E-3</v>
      </c>
      <c r="G127">
        <v>-1.573E-3</v>
      </c>
      <c r="H127">
        <v>-3.8063799999999998E-4</v>
      </c>
      <c r="I127">
        <v>2.1380000000000001E-3</v>
      </c>
      <c r="J127">
        <v>2.1299999999999999E-3</v>
      </c>
      <c r="K127">
        <v>-3.6991250000000002E-3</v>
      </c>
      <c r="L127">
        <v>0.31922916600000001</v>
      </c>
      <c r="M127">
        <v>0.94399999999999995</v>
      </c>
      <c r="N127">
        <v>0.107</v>
      </c>
    </row>
    <row r="128" spans="1:14" x14ac:dyDescent="0.25">
      <c r="A128" t="s">
        <v>142</v>
      </c>
      <c r="B128" t="s">
        <v>625</v>
      </c>
      <c r="C128" t="s">
        <v>12</v>
      </c>
      <c r="D128">
        <v>1</v>
      </c>
      <c r="E128">
        <v>960</v>
      </c>
      <c r="F128">
        <v>106.8125</v>
      </c>
      <c r="G128">
        <v>111.010254</v>
      </c>
      <c r="H128">
        <v>4.1977971498000004</v>
      </c>
      <c r="I128">
        <v>1.415408</v>
      </c>
      <c r="J128">
        <v>1.4084140000000001</v>
      </c>
      <c r="K128">
        <v>-4.9413469999999996E-3</v>
      </c>
      <c r="L128">
        <v>3.9300633000000001E-2</v>
      </c>
      <c r="M128">
        <v>0.15208333330000001</v>
      </c>
      <c r="N128">
        <v>1</v>
      </c>
    </row>
    <row r="129" spans="1:14" x14ac:dyDescent="0.25">
      <c r="A129" t="s">
        <v>142</v>
      </c>
      <c r="B129" t="s">
        <v>625</v>
      </c>
      <c r="C129" t="s">
        <v>13</v>
      </c>
      <c r="D129">
        <v>1</v>
      </c>
      <c r="E129">
        <v>960</v>
      </c>
      <c r="F129">
        <v>-4.7992999999999997</v>
      </c>
      <c r="G129">
        <v>-4.7788899999999996</v>
      </c>
      <c r="H129">
        <v>2.039214E-2</v>
      </c>
      <c r="I129">
        <v>0.55900099999999997</v>
      </c>
      <c r="J129">
        <v>0.55979299999999999</v>
      </c>
      <c r="K129">
        <v>1.4173968999999999E-3</v>
      </c>
      <c r="L129">
        <v>-4.2489980000000004E-3</v>
      </c>
      <c r="M129">
        <v>0.94687500000000002</v>
      </c>
      <c r="N129">
        <v>1</v>
      </c>
    </row>
    <row r="130" spans="1:14" x14ac:dyDescent="0.25">
      <c r="A130" t="s">
        <v>142</v>
      </c>
      <c r="B130" t="s">
        <v>625</v>
      </c>
      <c r="C130" t="s">
        <v>14</v>
      </c>
      <c r="D130">
        <v>1</v>
      </c>
      <c r="E130">
        <v>960</v>
      </c>
      <c r="F130">
        <v>8.7021999999999995</v>
      </c>
      <c r="G130">
        <v>6.0807979999999997</v>
      </c>
      <c r="H130">
        <v>-2.621409576</v>
      </c>
      <c r="I130">
        <v>0.34927799999999998</v>
      </c>
      <c r="J130">
        <v>0.35051500000000002</v>
      </c>
      <c r="K130">
        <v>3.5399462E-3</v>
      </c>
      <c r="L130">
        <v>-0.30123501699999999</v>
      </c>
      <c r="M130">
        <v>0</v>
      </c>
      <c r="N130">
        <v>1</v>
      </c>
    </row>
    <row r="131" spans="1:14" x14ac:dyDescent="0.25">
      <c r="A131" t="s">
        <v>142</v>
      </c>
      <c r="B131" t="s">
        <v>625</v>
      </c>
      <c r="C131" t="s">
        <v>15</v>
      </c>
      <c r="D131">
        <v>1</v>
      </c>
      <c r="E131">
        <v>960</v>
      </c>
      <c r="F131">
        <v>-1.5806</v>
      </c>
      <c r="G131">
        <v>-2.4276409999999999</v>
      </c>
      <c r="H131">
        <v>-0.84701472200000005</v>
      </c>
      <c r="I131">
        <v>0.355574</v>
      </c>
      <c r="J131">
        <v>0.34989199999999998</v>
      </c>
      <c r="K131">
        <v>-1.5979223000000001E-2</v>
      </c>
      <c r="L131">
        <v>0.53587298149999996</v>
      </c>
      <c r="M131">
        <v>0.33229166669999999</v>
      </c>
      <c r="N131">
        <v>1</v>
      </c>
    </row>
    <row r="132" spans="1:14" x14ac:dyDescent="0.25">
      <c r="A132" t="s">
        <v>142</v>
      </c>
      <c r="B132" t="s">
        <v>625</v>
      </c>
      <c r="C132" t="s">
        <v>16</v>
      </c>
      <c r="D132">
        <v>1</v>
      </c>
      <c r="E132">
        <v>960</v>
      </c>
      <c r="F132">
        <v>-7.7763999999999998</v>
      </c>
      <c r="G132">
        <v>-5.5637949999999998</v>
      </c>
      <c r="H132">
        <v>2.2126340088999998</v>
      </c>
      <c r="I132">
        <v>0.42177900000000002</v>
      </c>
      <c r="J132">
        <v>0.437253</v>
      </c>
      <c r="K132">
        <v>3.6687794400000001E-2</v>
      </c>
      <c r="L132">
        <v>-0.284530858</v>
      </c>
      <c r="M132">
        <v>0</v>
      </c>
      <c r="N132">
        <v>1</v>
      </c>
    </row>
    <row r="133" spans="1:14" x14ac:dyDescent="0.25">
      <c r="A133" t="s">
        <v>142</v>
      </c>
      <c r="B133" t="s">
        <v>625</v>
      </c>
      <c r="C133" t="s">
        <v>17</v>
      </c>
      <c r="D133">
        <v>1</v>
      </c>
      <c r="E133">
        <v>960</v>
      </c>
      <c r="F133">
        <v>5.8643999999999998</v>
      </c>
      <c r="G133">
        <v>5.9283270000000003</v>
      </c>
      <c r="H133">
        <v>6.3916621600000001E-2</v>
      </c>
      <c r="I133">
        <v>2.7258999999999999E-2</v>
      </c>
      <c r="J133">
        <v>2.6608E-2</v>
      </c>
      <c r="K133">
        <v>-2.3875309000000001E-2</v>
      </c>
      <c r="L133">
        <v>1.08990697E-2</v>
      </c>
      <c r="M133">
        <v>0.33124999999999999</v>
      </c>
      <c r="N133">
        <v>1</v>
      </c>
    </row>
    <row r="134" spans="1:14" x14ac:dyDescent="0.25">
      <c r="A134" t="s">
        <v>142</v>
      </c>
      <c r="B134" t="s">
        <v>625</v>
      </c>
      <c r="C134" t="s">
        <v>18</v>
      </c>
      <c r="D134">
        <v>1</v>
      </c>
      <c r="E134">
        <v>960</v>
      </c>
      <c r="F134">
        <v>3.2099999999999997E-2</v>
      </c>
      <c r="G134">
        <v>4.0050000000000002E-2</v>
      </c>
      <c r="H134">
        <v>7.9414693000000001E-3</v>
      </c>
      <c r="I134">
        <v>1.5701E-2</v>
      </c>
      <c r="J134">
        <v>1.5519E-2</v>
      </c>
      <c r="K134">
        <v>-1.1551710999999999E-2</v>
      </c>
      <c r="L134">
        <v>0.2473331346</v>
      </c>
      <c r="M134">
        <v>0.91979166670000001</v>
      </c>
      <c r="N134">
        <v>0.73229166670000001</v>
      </c>
    </row>
    <row r="135" spans="1:14" x14ac:dyDescent="0.25">
      <c r="A135" t="s">
        <v>142</v>
      </c>
      <c r="B135" t="s">
        <v>627</v>
      </c>
      <c r="C135" t="s">
        <v>12</v>
      </c>
      <c r="D135">
        <v>1</v>
      </c>
      <c r="E135">
        <v>913</v>
      </c>
      <c r="F135">
        <v>3.1539000000000001</v>
      </c>
      <c r="G135">
        <v>3.0128200000000001</v>
      </c>
      <c r="H135">
        <v>-0.141068579</v>
      </c>
      <c r="I135">
        <v>0.175071</v>
      </c>
      <c r="J135">
        <v>0.16764399999999999</v>
      </c>
      <c r="K135">
        <v>-4.2422565000000002E-2</v>
      </c>
      <c r="L135">
        <v>-4.4728466000000001E-2</v>
      </c>
      <c r="M135">
        <v>0.85870755750000005</v>
      </c>
      <c r="N135">
        <v>1</v>
      </c>
    </row>
    <row r="136" spans="1:14" x14ac:dyDescent="0.25">
      <c r="A136" t="s">
        <v>142</v>
      </c>
      <c r="B136" t="s">
        <v>627</v>
      </c>
      <c r="C136" t="s">
        <v>13</v>
      </c>
      <c r="D136">
        <v>1</v>
      </c>
      <c r="E136">
        <v>913</v>
      </c>
      <c r="F136">
        <v>-0.434</v>
      </c>
      <c r="G136">
        <v>-0.44274200000000002</v>
      </c>
      <c r="H136">
        <v>-8.7815359999999995E-3</v>
      </c>
      <c r="I136">
        <v>6.8032999999999996E-2</v>
      </c>
      <c r="J136">
        <v>6.4446000000000003E-2</v>
      </c>
      <c r="K136">
        <v>-5.2722072000000002E-2</v>
      </c>
      <c r="L136">
        <v>2.0235818700000002E-2</v>
      </c>
      <c r="M136">
        <v>0.93756845560000002</v>
      </c>
      <c r="N136">
        <v>1</v>
      </c>
    </row>
    <row r="137" spans="1:14" x14ac:dyDescent="0.25">
      <c r="A137" t="s">
        <v>142</v>
      </c>
      <c r="B137" t="s">
        <v>627</v>
      </c>
      <c r="C137" t="s">
        <v>14</v>
      </c>
      <c r="D137">
        <v>1</v>
      </c>
      <c r="E137">
        <v>913</v>
      </c>
      <c r="F137">
        <v>-7.6E-3</v>
      </c>
      <c r="G137">
        <v>-7.1699999999999997E-4</v>
      </c>
      <c r="H137">
        <v>6.9009192000000002E-3</v>
      </c>
      <c r="I137">
        <v>3.8567999999999998E-2</v>
      </c>
      <c r="J137">
        <v>3.9441999999999998E-2</v>
      </c>
      <c r="K137">
        <v>2.2677401100000001E-2</v>
      </c>
      <c r="L137">
        <v>-0.90586889000000004</v>
      </c>
      <c r="M137">
        <v>0.94852135820000005</v>
      </c>
      <c r="N137">
        <v>4.8192771099999997E-2</v>
      </c>
    </row>
    <row r="138" spans="1:14" x14ac:dyDescent="0.25">
      <c r="A138" t="s">
        <v>142</v>
      </c>
      <c r="B138" t="s">
        <v>627</v>
      </c>
      <c r="C138" t="s">
        <v>15</v>
      </c>
      <c r="D138">
        <v>1</v>
      </c>
      <c r="E138">
        <v>913</v>
      </c>
      <c r="F138">
        <v>-0.4551</v>
      </c>
      <c r="G138">
        <v>-0.41951100000000002</v>
      </c>
      <c r="H138">
        <v>3.5620447700000002E-2</v>
      </c>
      <c r="I138">
        <v>4.2091000000000003E-2</v>
      </c>
      <c r="J138">
        <v>4.0503999999999998E-2</v>
      </c>
      <c r="K138">
        <v>-3.7703161999999998E-2</v>
      </c>
      <c r="L138">
        <v>-7.8264011999999994E-2</v>
      </c>
      <c r="M138">
        <v>0.84775465500000002</v>
      </c>
      <c r="N138">
        <v>1</v>
      </c>
    </row>
    <row r="139" spans="1:14" x14ac:dyDescent="0.25">
      <c r="A139" t="s">
        <v>142</v>
      </c>
      <c r="B139" t="s">
        <v>627</v>
      </c>
      <c r="C139" t="s">
        <v>16</v>
      </c>
      <c r="D139">
        <v>1</v>
      </c>
      <c r="E139">
        <v>913</v>
      </c>
      <c r="F139">
        <v>-8.0399999999999999E-2</v>
      </c>
      <c r="G139">
        <v>-0.10891000000000001</v>
      </c>
      <c r="H139">
        <v>-2.8503257000000001E-2</v>
      </c>
      <c r="I139">
        <v>5.0257999999999997E-2</v>
      </c>
      <c r="J139">
        <v>4.9693000000000001E-2</v>
      </c>
      <c r="K139">
        <v>-1.1233274E-2</v>
      </c>
      <c r="L139">
        <v>0.35448931680000001</v>
      </c>
      <c r="M139">
        <v>0.90470974810000004</v>
      </c>
      <c r="N139">
        <v>0.61117196060000001</v>
      </c>
    </row>
    <row r="140" spans="1:14" x14ac:dyDescent="0.25">
      <c r="A140" t="s">
        <v>142</v>
      </c>
      <c r="B140" t="s">
        <v>627</v>
      </c>
      <c r="C140" t="s">
        <v>17</v>
      </c>
      <c r="D140">
        <v>1</v>
      </c>
      <c r="E140">
        <v>913</v>
      </c>
      <c r="F140">
        <v>-0.1255</v>
      </c>
      <c r="G140">
        <v>-0.12052599999999999</v>
      </c>
      <c r="H140">
        <v>4.93868E-3</v>
      </c>
      <c r="I140">
        <v>4.1320000000000003E-3</v>
      </c>
      <c r="J140">
        <v>4.1700000000000001E-3</v>
      </c>
      <c r="K140">
        <v>9.0829155000000002E-3</v>
      </c>
      <c r="L140">
        <v>-3.9363086999999998E-2</v>
      </c>
      <c r="M140">
        <v>0.76779846659999995</v>
      </c>
      <c r="N140">
        <v>1</v>
      </c>
    </row>
    <row r="141" spans="1:14" x14ac:dyDescent="0.25">
      <c r="A141" t="s">
        <v>142</v>
      </c>
      <c r="B141" t="s">
        <v>627</v>
      </c>
      <c r="C141" t="s">
        <v>18</v>
      </c>
      <c r="D141">
        <v>1</v>
      </c>
      <c r="E141">
        <v>913</v>
      </c>
      <c r="F141">
        <v>-1.1999999999999999E-3</v>
      </c>
      <c r="G141">
        <v>-1.5820000000000001E-3</v>
      </c>
      <c r="H141">
        <v>-3.89391E-4</v>
      </c>
      <c r="I141">
        <v>2.1480000000000002E-3</v>
      </c>
      <c r="J141">
        <v>2.1299999999999999E-3</v>
      </c>
      <c r="K141">
        <v>-8.389044E-3</v>
      </c>
      <c r="L141">
        <v>0.32657031819999999</v>
      </c>
      <c r="M141">
        <v>0.94304490689999998</v>
      </c>
      <c r="N141">
        <v>0.11062431540000001</v>
      </c>
    </row>
    <row r="142" spans="1:14" x14ac:dyDescent="0.25">
      <c r="A142" t="s">
        <v>142</v>
      </c>
      <c r="B142" t="s">
        <v>163</v>
      </c>
      <c r="C142" t="s">
        <v>12</v>
      </c>
      <c r="D142">
        <v>1</v>
      </c>
      <c r="E142">
        <v>1000</v>
      </c>
      <c r="F142">
        <v>106.8125</v>
      </c>
      <c r="G142">
        <v>107.366551</v>
      </c>
      <c r="H142">
        <v>0.55409431760000005</v>
      </c>
      <c r="I142">
        <v>3.2308880000000002</v>
      </c>
      <c r="J142">
        <v>3.3061129999999999</v>
      </c>
      <c r="K142">
        <v>2.3283156400000001E-2</v>
      </c>
      <c r="L142">
        <v>5.1875439999999997E-3</v>
      </c>
      <c r="M142">
        <v>0.94899999999999995</v>
      </c>
      <c r="N142">
        <v>0</v>
      </c>
    </row>
    <row r="143" spans="1:14" x14ac:dyDescent="0.25">
      <c r="A143" t="s">
        <v>142</v>
      </c>
      <c r="B143" t="s">
        <v>163</v>
      </c>
      <c r="C143" t="s">
        <v>13</v>
      </c>
      <c r="D143">
        <v>1</v>
      </c>
      <c r="E143">
        <v>1000</v>
      </c>
      <c r="F143">
        <v>-4.7992999999999997</v>
      </c>
      <c r="G143">
        <v>-4.8812870000000004</v>
      </c>
      <c r="H143">
        <v>-8.2004772000000004E-2</v>
      </c>
      <c r="I143">
        <v>1.3222579999999999</v>
      </c>
      <c r="J143">
        <v>1.3324419999999999</v>
      </c>
      <c r="K143">
        <v>7.7021496000000004E-3</v>
      </c>
      <c r="L143">
        <v>1.7086883899999999E-2</v>
      </c>
      <c r="M143">
        <v>0.96099999999999997</v>
      </c>
      <c r="N143">
        <v>0</v>
      </c>
    </row>
    <row r="144" spans="1:14" x14ac:dyDescent="0.25">
      <c r="A144" t="s">
        <v>142</v>
      </c>
      <c r="B144" t="s">
        <v>163</v>
      </c>
      <c r="C144" t="s">
        <v>14</v>
      </c>
      <c r="D144">
        <v>1</v>
      </c>
      <c r="E144">
        <v>1000</v>
      </c>
      <c r="F144">
        <v>8.7021999999999995</v>
      </c>
      <c r="G144">
        <v>8.7341739999999994</v>
      </c>
      <c r="H144">
        <v>3.1966465499999999E-2</v>
      </c>
      <c r="I144">
        <v>0.71731299999999998</v>
      </c>
      <c r="J144">
        <v>0.69372900000000004</v>
      </c>
      <c r="K144">
        <v>-3.2877594000000003E-2</v>
      </c>
      <c r="L144">
        <v>3.6733743999999998E-3</v>
      </c>
      <c r="M144">
        <v>0.94699999999999995</v>
      </c>
      <c r="N144">
        <v>0</v>
      </c>
    </row>
    <row r="145" spans="1:14" x14ac:dyDescent="0.25">
      <c r="A145" t="s">
        <v>142</v>
      </c>
      <c r="B145" t="s">
        <v>163</v>
      </c>
      <c r="C145" t="s">
        <v>15</v>
      </c>
      <c r="D145">
        <v>1</v>
      </c>
      <c r="E145">
        <v>1000</v>
      </c>
      <c r="F145">
        <v>-1.5806</v>
      </c>
      <c r="G145">
        <v>-1.4368369999999999</v>
      </c>
      <c r="H145">
        <v>0.14378862640000001</v>
      </c>
      <c r="I145">
        <v>0.88010600000000005</v>
      </c>
      <c r="J145">
        <v>0.86254699999999995</v>
      </c>
      <c r="K145">
        <v>-1.9950743999999999E-2</v>
      </c>
      <c r="L145">
        <v>-9.0969421999999994E-2</v>
      </c>
      <c r="M145">
        <v>0.95</v>
      </c>
      <c r="N145">
        <v>0</v>
      </c>
    </row>
    <row r="146" spans="1:14" x14ac:dyDescent="0.25">
      <c r="A146" t="s">
        <v>142</v>
      </c>
      <c r="B146" t="s">
        <v>163</v>
      </c>
      <c r="C146" t="s">
        <v>16</v>
      </c>
      <c r="D146">
        <v>1</v>
      </c>
      <c r="E146">
        <v>1000</v>
      </c>
      <c r="F146">
        <v>-7.7763999999999998</v>
      </c>
      <c r="G146">
        <v>-7.7981100000000003</v>
      </c>
      <c r="H146">
        <v>-2.1681433999999999E-2</v>
      </c>
      <c r="I146">
        <v>0.90300800000000003</v>
      </c>
      <c r="J146">
        <v>0.901169</v>
      </c>
      <c r="K146">
        <v>-2.036483E-3</v>
      </c>
      <c r="L146">
        <v>2.7880965000000001E-3</v>
      </c>
      <c r="M146">
        <v>0.95399999999999996</v>
      </c>
      <c r="N146">
        <v>0</v>
      </c>
    </row>
    <row r="147" spans="1:14" x14ac:dyDescent="0.25">
      <c r="A147" t="s">
        <v>142</v>
      </c>
      <c r="B147" t="s">
        <v>163</v>
      </c>
      <c r="C147" t="s">
        <v>17</v>
      </c>
      <c r="D147">
        <v>1</v>
      </c>
      <c r="E147">
        <v>1000</v>
      </c>
      <c r="F147">
        <v>5.8643999999999998</v>
      </c>
      <c r="G147">
        <v>5.8921869999999998</v>
      </c>
      <c r="H147">
        <v>2.7775729999999998E-2</v>
      </c>
      <c r="I147">
        <v>6.4449999999999993E-2</v>
      </c>
      <c r="J147">
        <v>6.9494E-2</v>
      </c>
      <c r="K147">
        <v>7.8257299899999994E-2</v>
      </c>
      <c r="L147">
        <v>4.7363207000000003E-3</v>
      </c>
      <c r="M147">
        <v>0.96599999999999997</v>
      </c>
      <c r="N147">
        <v>0</v>
      </c>
    </row>
    <row r="148" spans="1:14" x14ac:dyDescent="0.25">
      <c r="A148" t="s">
        <v>142</v>
      </c>
      <c r="B148" t="s">
        <v>163</v>
      </c>
      <c r="C148" t="s">
        <v>18</v>
      </c>
      <c r="D148">
        <v>1</v>
      </c>
      <c r="E148">
        <v>1000</v>
      </c>
      <c r="F148">
        <v>3.2099999999999997E-2</v>
      </c>
      <c r="G148">
        <v>7.868E-3</v>
      </c>
      <c r="H148">
        <v>-2.4240251000000001E-2</v>
      </c>
      <c r="I148">
        <v>5.6614999999999999E-2</v>
      </c>
      <c r="J148">
        <v>5.9601000000000001E-2</v>
      </c>
      <c r="K148">
        <v>5.2731477399999997E-2</v>
      </c>
      <c r="L148">
        <v>-0.75495064599999995</v>
      </c>
      <c r="M148">
        <v>0.96299999999999997</v>
      </c>
      <c r="N148">
        <v>0</v>
      </c>
    </row>
    <row r="149" spans="1:14" x14ac:dyDescent="0.25">
      <c r="A149" t="s">
        <v>142</v>
      </c>
      <c r="B149" t="s">
        <v>168</v>
      </c>
      <c r="C149" t="s">
        <v>12</v>
      </c>
      <c r="D149">
        <v>1</v>
      </c>
      <c r="E149">
        <v>1000</v>
      </c>
      <c r="F149">
        <v>106.8125</v>
      </c>
      <c r="G149">
        <v>106.409465</v>
      </c>
      <c r="H149">
        <v>-0.40299188200000002</v>
      </c>
      <c r="I149">
        <v>3.1019169999999998</v>
      </c>
      <c r="J149">
        <v>3.286279</v>
      </c>
      <c r="K149">
        <v>5.9434887700000001E-2</v>
      </c>
      <c r="L149">
        <v>-3.7728919999999999E-3</v>
      </c>
      <c r="M149">
        <v>0.95299999999999996</v>
      </c>
      <c r="N149">
        <v>0</v>
      </c>
    </row>
    <row r="150" spans="1:14" x14ac:dyDescent="0.25">
      <c r="A150" t="s">
        <v>142</v>
      </c>
      <c r="B150" t="s">
        <v>168</v>
      </c>
      <c r="C150" t="s">
        <v>13</v>
      </c>
      <c r="D150">
        <v>1</v>
      </c>
      <c r="E150">
        <v>1000</v>
      </c>
      <c r="F150">
        <v>-4.7992999999999997</v>
      </c>
      <c r="G150">
        <v>-3.8406579999999999</v>
      </c>
      <c r="H150">
        <v>0.95862351869999995</v>
      </c>
      <c r="I150">
        <v>1.311096</v>
      </c>
      <c r="J150">
        <v>1.3499490000000001</v>
      </c>
      <c r="K150">
        <v>2.9634423900000002E-2</v>
      </c>
      <c r="L150">
        <v>-0.199743116</v>
      </c>
      <c r="M150">
        <v>0.91700000000000004</v>
      </c>
      <c r="N150">
        <v>0</v>
      </c>
    </row>
    <row r="151" spans="1:14" x14ac:dyDescent="0.25">
      <c r="A151" t="s">
        <v>142</v>
      </c>
      <c r="B151" t="s">
        <v>168</v>
      </c>
      <c r="C151" t="s">
        <v>14</v>
      </c>
      <c r="D151">
        <v>1</v>
      </c>
      <c r="E151">
        <v>1000</v>
      </c>
      <c r="F151">
        <v>8.7021999999999995</v>
      </c>
      <c r="G151">
        <v>8.6063039999999997</v>
      </c>
      <c r="H151">
        <v>-9.5903278999999994E-2</v>
      </c>
      <c r="I151">
        <v>0.65567500000000001</v>
      </c>
      <c r="J151">
        <v>0.67546200000000001</v>
      </c>
      <c r="K151">
        <v>3.0178649799999999E-2</v>
      </c>
      <c r="L151">
        <v>-1.1020568999999999E-2</v>
      </c>
      <c r="M151">
        <v>0.95499999999999996</v>
      </c>
      <c r="N151">
        <v>0</v>
      </c>
    </row>
    <row r="152" spans="1:14" x14ac:dyDescent="0.25">
      <c r="A152" t="s">
        <v>142</v>
      </c>
      <c r="B152" t="s">
        <v>168</v>
      </c>
      <c r="C152" t="s">
        <v>15</v>
      </c>
      <c r="D152">
        <v>1</v>
      </c>
      <c r="E152">
        <v>1000</v>
      </c>
      <c r="F152">
        <v>-1.5806</v>
      </c>
      <c r="G152">
        <v>-2.010831</v>
      </c>
      <c r="H152">
        <v>-0.43020461900000001</v>
      </c>
      <c r="I152">
        <v>0.88915599999999995</v>
      </c>
      <c r="J152">
        <v>0.86123899999999998</v>
      </c>
      <c r="K152">
        <v>-3.1397440999999998E-2</v>
      </c>
      <c r="L152">
        <v>0.27217358289999999</v>
      </c>
      <c r="M152">
        <v>0.91600000000000004</v>
      </c>
      <c r="N152">
        <v>0</v>
      </c>
    </row>
    <row r="153" spans="1:14" x14ac:dyDescent="0.25">
      <c r="A153" t="s">
        <v>142</v>
      </c>
      <c r="B153" t="s">
        <v>168</v>
      </c>
      <c r="C153" t="s">
        <v>16</v>
      </c>
      <c r="D153">
        <v>1</v>
      </c>
      <c r="E153">
        <v>1000</v>
      </c>
      <c r="F153">
        <v>-7.7763999999999998</v>
      </c>
      <c r="G153">
        <v>-8.0859839999999998</v>
      </c>
      <c r="H153">
        <v>-0.30955465900000001</v>
      </c>
      <c r="I153">
        <v>0.88242799999999999</v>
      </c>
      <c r="J153">
        <v>0.88523700000000005</v>
      </c>
      <c r="K153">
        <v>3.1827205000000002E-3</v>
      </c>
      <c r="L153">
        <v>3.9806788000000003E-2</v>
      </c>
      <c r="M153">
        <v>0.93799999999999994</v>
      </c>
      <c r="N153">
        <v>0</v>
      </c>
    </row>
    <row r="154" spans="1:14" x14ac:dyDescent="0.25">
      <c r="A154" t="s">
        <v>142</v>
      </c>
      <c r="B154" t="s">
        <v>168</v>
      </c>
      <c r="C154" t="s">
        <v>17</v>
      </c>
      <c r="D154">
        <v>1</v>
      </c>
      <c r="E154">
        <v>1000</v>
      </c>
      <c r="F154">
        <v>5.8643999999999998</v>
      </c>
      <c r="G154">
        <v>5.8509760000000002</v>
      </c>
      <c r="H154">
        <v>-1.3434280999999999E-2</v>
      </c>
      <c r="I154">
        <v>6.4897999999999997E-2</v>
      </c>
      <c r="J154">
        <v>6.9067000000000003E-2</v>
      </c>
      <c r="K154">
        <v>6.4239340800000003E-2</v>
      </c>
      <c r="L154">
        <v>-2.2908149999999999E-3</v>
      </c>
      <c r="M154">
        <v>0.96799999999999997</v>
      </c>
      <c r="N154">
        <v>0</v>
      </c>
    </row>
    <row r="155" spans="1:14" x14ac:dyDescent="0.25">
      <c r="A155" t="s">
        <v>142</v>
      </c>
      <c r="B155" t="s">
        <v>168</v>
      </c>
      <c r="C155" t="s">
        <v>18</v>
      </c>
      <c r="D155">
        <v>1</v>
      </c>
      <c r="E155">
        <v>1000</v>
      </c>
      <c r="F155">
        <v>3.2099999999999997E-2</v>
      </c>
      <c r="G155">
        <v>6.1485999999999999E-2</v>
      </c>
      <c r="H155">
        <v>2.9377567100000002E-2</v>
      </c>
      <c r="I155">
        <v>5.6746999999999999E-2</v>
      </c>
      <c r="J155">
        <v>5.8299999999999998E-2</v>
      </c>
      <c r="K155">
        <v>2.73642968E-2</v>
      </c>
      <c r="L155">
        <v>0.91494980110000002</v>
      </c>
      <c r="M155">
        <v>0.94499999999999995</v>
      </c>
      <c r="N155">
        <v>0</v>
      </c>
    </row>
    <row r="156" spans="1:14" x14ac:dyDescent="0.25">
      <c r="A156" t="s">
        <v>142</v>
      </c>
      <c r="B156" t="s">
        <v>351</v>
      </c>
      <c r="C156" t="s">
        <v>12</v>
      </c>
      <c r="D156">
        <v>1</v>
      </c>
      <c r="E156">
        <v>1000</v>
      </c>
      <c r="F156">
        <v>106.8125</v>
      </c>
      <c r="G156">
        <v>106.52435800000001</v>
      </c>
      <c r="H156">
        <v>-0.288098882</v>
      </c>
      <c r="I156">
        <v>2.4330500000000002</v>
      </c>
      <c r="J156">
        <v>2.5845470000000001</v>
      </c>
      <c r="K156">
        <v>6.22663455E-2</v>
      </c>
      <c r="L156">
        <v>-2.6972400000000001E-3</v>
      </c>
      <c r="M156">
        <v>0.96599999999999997</v>
      </c>
      <c r="N156">
        <v>0</v>
      </c>
    </row>
    <row r="157" spans="1:14" x14ac:dyDescent="0.25">
      <c r="A157" t="s">
        <v>142</v>
      </c>
      <c r="B157" t="s">
        <v>351</v>
      </c>
      <c r="C157" t="s">
        <v>13</v>
      </c>
      <c r="D157">
        <v>1</v>
      </c>
      <c r="E157">
        <v>1000</v>
      </c>
      <c r="F157">
        <v>-4.7992999999999997</v>
      </c>
      <c r="G157">
        <v>-4.9949709999999996</v>
      </c>
      <c r="H157">
        <v>-0.19568945400000001</v>
      </c>
      <c r="I157">
        <v>0.98218700000000003</v>
      </c>
      <c r="J157">
        <v>1.0051760000000001</v>
      </c>
      <c r="K157">
        <v>2.3405955999999999E-2</v>
      </c>
      <c r="L157">
        <v>4.0774736499999999E-2</v>
      </c>
      <c r="M157">
        <v>0.94499999999999995</v>
      </c>
      <c r="N157">
        <v>0</v>
      </c>
    </row>
    <row r="158" spans="1:14" x14ac:dyDescent="0.25">
      <c r="A158" t="s">
        <v>142</v>
      </c>
      <c r="B158" t="s">
        <v>351</v>
      </c>
      <c r="C158" t="s">
        <v>14</v>
      </c>
      <c r="D158">
        <v>1</v>
      </c>
      <c r="E158">
        <v>1000</v>
      </c>
      <c r="F158">
        <v>8.7021999999999995</v>
      </c>
      <c r="G158">
        <v>8.7239810000000002</v>
      </c>
      <c r="H158">
        <v>2.17739632E-2</v>
      </c>
      <c r="I158">
        <v>0.57582999999999995</v>
      </c>
      <c r="J158">
        <v>0.59188300000000005</v>
      </c>
      <c r="K158">
        <v>2.7877362700000002E-2</v>
      </c>
      <c r="L158">
        <v>2.5021195999999999E-3</v>
      </c>
      <c r="M158">
        <v>0.96199999999999997</v>
      </c>
      <c r="N158">
        <v>0</v>
      </c>
    </row>
    <row r="159" spans="1:14" x14ac:dyDescent="0.25">
      <c r="A159" t="s">
        <v>142</v>
      </c>
      <c r="B159" t="s">
        <v>351</v>
      </c>
      <c r="C159" t="s">
        <v>15</v>
      </c>
      <c r="D159">
        <v>1</v>
      </c>
      <c r="E159">
        <v>1000</v>
      </c>
      <c r="F159">
        <v>-1.5806</v>
      </c>
      <c r="G159">
        <v>-1.7076039999999999</v>
      </c>
      <c r="H159">
        <v>-0.12697834599999999</v>
      </c>
      <c r="I159">
        <v>0.68135199999999996</v>
      </c>
      <c r="J159">
        <v>0.694608</v>
      </c>
      <c r="K159">
        <v>1.9456001099999998E-2</v>
      </c>
      <c r="L159">
        <v>8.0334217200000002E-2</v>
      </c>
      <c r="M159">
        <v>0.95599999999999996</v>
      </c>
      <c r="N159">
        <v>0</v>
      </c>
    </row>
    <row r="160" spans="1:14" x14ac:dyDescent="0.25">
      <c r="A160" t="s">
        <v>142</v>
      </c>
      <c r="B160" t="s">
        <v>351</v>
      </c>
      <c r="C160" t="s">
        <v>16</v>
      </c>
      <c r="D160">
        <v>1</v>
      </c>
      <c r="E160">
        <v>1000</v>
      </c>
      <c r="F160">
        <v>-7.7763999999999998</v>
      </c>
      <c r="G160">
        <v>-7.8238729999999999</v>
      </c>
      <c r="H160">
        <v>-4.7443971000000001E-2</v>
      </c>
      <c r="I160">
        <v>0.74884899999999999</v>
      </c>
      <c r="J160">
        <v>0.74396600000000002</v>
      </c>
      <c r="K160">
        <v>-6.5207140000000004E-3</v>
      </c>
      <c r="L160">
        <v>6.1009972000000004E-3</v>
      </c>
      <c r="M160">
        <v>0.95099999999999996</v>
      </c>
      <c r="N160">
        <v>0</v>
      </c>
    </row>
    <row r="161" spans="1:14" x14ac:dyDescent="0.25">
      <c r="A161" t="s">
        <v>142</v>
      </c>
      <c r="B161" t="s">
        <v>351</v>
      </c>
      <c r="C161" t="s">
        <v>17</v>
      </c>
      <c r="D161">
        <v>1</v>
      </c>
      <c r="E161">
        <v>1000</v>
      </c>
      <c r="F161">
        <v>5.8643999999999998</v>
      </c>
      <c r="G161">
        <v>5.8416199999999998</v>
      </c>
      <c r="H161">
        <v>-2.2790521000000001E-2</v>
      </c>
      <c r="I161">
        <v>4.1298000000000001E-2</v>
      </c>
      <c r="J161">
        <v>4.5127E-2</v>
      </c>
      <c r="K161">
        <v>9.2735751300000002E-2</v>
      </c>
      <c r="L161">
        <v>-3.8862419999999998E-3</v>
      </c>
      <c r="M161">
        <v>0.95199999999999996</v>
      </c>
      <c r="N161">
        <v>0</v>
      </c>
    </row>
    <row r="162" spans="1:14" x14ac:dyDescent="0.25">
      <c r="A162" t="s">
        <v>142</v>
      </c>
      <c r="B162" t="s">
        <v>351</v>
      </c>
      <c r="C162" t="s">
        <v>18</v>
      </c>
      <c r="D162">
        <v>1</v>
      </c>
      <c r="E162">
        <v>1000</v>
      </c>
      <c r="F162">
        <v>3.2099999999999997E-2</v>
      </c>
      <c r="G162">
        <v>5.6122999999999999E-2</v>
      </c>
      <c r="H162">
        <v>2.4015023399999998E-2</v>
      </c>
      <c r="I162">
        <v>3.2455999999999999E-2</v>
      </c>
      <c r="J162">
        <v>3.508E-2</v>
      </c>
      <c r="K162">
        <v>8.0852763999999994E-2</v>
      </c>
      <c r="L162">
        <v>0.74793602790000002</v>
      </c>
      <c r="M162">
        <v>0.93500000000000005</v>
      </c>
      <c r="N162">
        <v>0</v>
      </c>
    </row>
    <row r="163" spans="1:14" x14ac:dyDescent="0.25">
      <c r="A163" t="s">
        <v>142</v>
      </c>
      <c r="B163" t="s">
        <v>352</v>
      </c>
      <c r="C163" t="s">
        <v>12</v>
      </c>
      <c r="D163">
        <v>1</v>
      </c>
      <c r="E163">
        <v>1000</v>
      </c>
      <c r="F163">
        <v>106.8125</v>
      </c>
      <c r="G163">
        <v>106.57304999999999</v>
      </c>
      <c r="H163">
        <v>-0.239406799</v>
      </c>
      <c r="I163">
        <v>2.5500919999999998</v>
      </c>
      <c r="J163">
        <v>2.670639</v>
      </c>
      <c r="K163">
        <v>4.7271661600000001E-2</v>
      </c>
      <c r="L163">
        <v>-2.2413749999999999E-3</v>
      </c>
      <c r="M163">
        <v>0.96399999999999997</v>
      </c>
      <c r="N163">
        <v>0</v>
      </c>
    </row>
    <row r="164" spans="1:14" x14ac:dyDescent="0.25">
      <c r="A164" t="s">
        <v>142</v>
      </c>
      <c r="B164" t="s">
        <v>352</v>
      </c>
      <c r="C164" t="s">
        <v>13</v>
      </c>
      <c r="D164">
        <v>1</v>
      </c>
      <c r="E164">
        <v>1000</v>
      </c>
      <c r="F164">
        <v>-4.7992999999999997</v>
      </c>
      <c r="G164">
        <v>-4.9709019999999997</v>
      </c>
      <c r="H164">
        <v>-0.17162036899999999</v>
      </c>
      <c r="I164">
        <v>1.0123420000000001</v>
      </c>
      <c r="J164">
        <v>1.034146</v>
      </c>
      <c r="K164">
        <v>2.1538133500000001E-2</v>
      </c>
      <c r="L164">
        <v>3.5759593399999998E-2</v>
      </c>
      <c r="M164">
        <v>0.95399999999999996</v>
      </c>
      <c r="N164">
        <v>0</v>
      </c>
    </row>
    <row r="165" spans="1:14" x14ac:dyDescent="0.25">
      <c r="A165" t="s">
        <v>142</v>
      </c>
      <c r="B165" t="s">
        <v>352</v>
      </c>
      <c r="C165" t="s">
        <v>14</v>
      </c>
      <c r="D165">
        <v>1</v>
      </c>
      <c r="E165">
        <v>1000</v>
      </c>
      <c r="F165">
        <v>8.7021999999999995</v>
      </c>
      <c r="G165">
        <v>8.717276</v>
      </c>
      <c r="H165">
        <v>1.50688262E-2</v>
      </c>
      <c r="I165">
        <v>0.56695600000000002</v>
      </c>
      <c r="J165">
        <v>0.59962000000000004</v>
      </c>
      <c r="K165">
        <v>5.7611561899999997E-2</v>
      </c>
      <c r="L165">
        <v>1.7316097000000001E-3</v>
      </c>
      <c r="M165">
        <v>0.96199999999999997</v>
      </c>
      <c r="N165">
        <v>0</v>
      </c>
    </row>
    <row r="166" spans="1:14" x14ac:dyDescent="0.25">
      <c r="A166" t="s">
        <v>142</v>
      </c>
      <c r="B166" t="s">
        <v>352</v>
      </c>
      <c r="C166" t="s">
        <v>15</v>
      </c>
      <c r="D166">
        <v>1</v>
      </c>
      <c r="E166">
        <v>1000</v>
      </c>
      <c r="F166">
        <v>-1.5806</v>
      </c>
      <c r="G166">
        <v>-1.743222</v>
      </c>
      <c r="H166">
        <v>-0.162596078</v>
      </c>
      <c r="I166">
        <v>0.70443800000000001</v>
      </c>
      <c r="J166">
        <v>0.70561300000000005</v>
      </c>
      <c r="K166">
        <v>1.6685418E-3</v>
      </c>
      <c r="L166">
        <v>0.1028681588</v>
      </c>
      <c r="M166">
        <v>0.95199999999999996</v>
      </c>
      <c r="N166">
        <v>0</v>
      </c>
    </row>
    <row r="167" spans="1:14" x14ac:dyDescent="0.25">
      <c r="A167" t="s">
        <v>142</v>
      </c>
      <c r="B167" t="s">
        <v>352</v>
      </c>
      <c r="C167" t="s">
        <v>16</v>
      </c>
      <c r="D167">
        <v>1</v>
      </c>
      <c r="E167">
        <v>1000</v>
      </c>
      <c r="F167">
        <v>-7.7763999999999998</v>
      </c>
      <c r="G167">
        <v>-7.8304580000000001</v>
      </c>
      <c r="H167">
        <v>-5.4028591000000001E-2</v>
      </c>
      <c r="I167">
        <v>0.76052600000000004</v>
      </c>
      <c r="J167">
        <v>0.75423600000000002</v>
      </c>
      <c r="K167">
        <v>-8.2716130000000006E-3</v>
      </c>
      <c r="L167">
        <v>6.9477380000000002E-3</v>
      </c>
      <c r="M167">
        <v>0.95399999999999996</v>
      </c>
      <c r="N167">
        <v>0</v>
      </c>
    </row>
    <row r="168" spans="1:14" x14ac:dyDescent="0.25">
      <c r="A168" t="s">
        <v>142</v>
      </c>
      <c r="B168" t="s">
        <v>352</v>
      </c>
      <c r="C168" t="s">
        <v>17</v>
      </c>
      <c r="D168">
        <v>1</v>
      </c>
      <c r="E168">
        <v>1000</v>
      </c>
      <c r="F168">
        <v>5.8643999999999998</v>
      </c>
      <c r="G168">
        <v>5.838635</v>
      </c>
      <c r="H168">
        <v>-2.5775880000000001E-2</v>
      </c>
      <c r="I168">
        <v>4.2604999999999997E-2</v>
      </c>
      <c r="J168">
        <v>4.8254999999999999E-2</v>
      </c>
      <c r="K168">
        <v>0.1326055484</v>
      </c>
      <c r="L168">
        <v>-4.3953059999999999E-3</v>
      </c>
      <c r="M168">
        <v>0.95899999999999996</v>
      </c>
      <c r="N168">
        <v>0</v>
      </c>
    </row>
    <row r="169" spans="1:14" x14ac:dyDescent="0.25">
      <c r="A169" t="s">
        <v>142</v>
      </c>
      <c r="B169" t="s">
        <v>352</v>
      </c>
      <c r="C169" t="s">
        <v>18</v>
      </c>
      <c r="D169">
        <v>1</v>
      </c>
      <c r="E169">
        <v>1000</v>
      </c>
      <c r="F169">
        <v>3.2099999999999997E-2</v>
      </c>
      <c r="G169">
        <v>5.7558999999999999E-2</v>
      </c>
      <c r="H169">
        <v>2.5450957900000001E-2</v>
      </c>
      <c r="I169">
        <v>3.5874999999999997E-2</v>
      </c>
      <c r="J169">
        <v>3.8490999999999997E-2</v>
      </c>
      <c r="K169">
        <v>7.29439536E-2</v>
      </c>
      <c r="L169">
        <v>0.79265749910000005</v>
      </c>
      <c r="M169">
        <v>0.93600000000000005</v>
      </c>
      <c r="N169">
        <v>0</v>
      </c>
    </row>
    <row r="170" spans="1:14" x14ac:dyDescent="0.25">
      <c r="A170" t="s">
        <v>142</v>
      </c>
      <c r="B170" t="s">
        <v>353</v>
      </c>
      <c r="C170" t="s">
        <v>12</v>
      </c>
      <c r="D170">
        <v>1</v>
      </c>
      <c r="E170">
        <v>1000</v>
      </c>
      <c r="F170">
        <v>3.1539000000000001</v>
      </c>
      <c r="G170">
        <v>3.1502750000000002</v>
      </c>
      <c r="H170">
        <v>-3.6130160000000001E-3</v>
      </c>
      <c r="I170">
        <v>0.36110199999999998</v>
      </c>
      <c r="J170">
        <v>0.36297499999999999</v>
      </c>
      <c r="K170">
        <v>5.1890477000000003E-3</v>
      </c>
      <c r="L170">
        <v>-1.145575E-3</v>
      </c>
      <c r="M170">
        <v>0.95</v>
      </c>
      <c r="N170">
        <v>0</v>
      </c>
    </row>
    <row r="171" spans="1:14" x14ac:dyDescent="0.25">
      <c r="A171" t="s">
        <v>142</v>
      </c>
      <c r="B171" t="s">
        <v>353</v>
      </c>
      <c r="C171" t="s">
        <v>13</v>
      </c>
      <c r="D171">
        <v>1</v>
      </c>
      <c r="E171">
        <v>1000</v>
      </c>
      <c r="F171">
        <v>-0.434</v>
      </c>
      <c r="G171">
        <v>-0.62409199999999998</v>
      </c>
      <c r="H171">
        <v>-0.19013210799999999</v>
      </c>
      <c r="I171">
        <v>0.139405</v>
      </c>
      <c r="J171">
        <v>0.14172399999999999</v>
      </c>
      <c r="K171">
        <v>1.6631640699999999E-2</v>
      </c>
      <c r="L171">
        <v>0.4381327652</v>
      </c>
      <c r="M171">
        <v>0.76800000000000002</v>
      </c>
      <c r="N171">
        <v>0</v>
      </c>
    </row>
    <row r="172" spans="1:14" x14ac:dyDescent="0.25">
      <c r="A172" t="s">
        <v>142</v>
      </c>
      <c r="B172" t="s">
        <v>353</v>
      </c>
      <c r="C172" t="s">
        <v>14</v>
      </c>
      <c r="D172">
        <v>1</v>
      </c>
      <c r="E172">
        <v>1000</v>
      </c>
      <c r="F172">
        <v>-7.6E-3</v>
      </c>
      <c r="G172">
        <v>1.0787E-2</v>
      </c>
      <c r="H172">
        <v>1.84052548E-2</v>
      </c>
      <c r="I172">
        <v>6.2386999999999998E-2</v>
      </c>
      <c r="J172">
        <v>6.4480999999999997E-2</v>
      </c>
      <c r="K172">
        <v>3.3562406400000001E-2</v>
      </c>
      <c r="L172">
        <v>-2.4160184020000002</v>
      </c>
      <c r="M172">
        <v>0.95199999999999996</v>
      </c>
      <c r="N172">
        <v>0</v>
      </c>
    </row>
    <row r="173" spans="1:14" x14ac:dyDescent="0.25">
      <c r="A173" t="s">
        <v>142</v>
      </c>
      <c r="B173" t="s">
        <v>353</v>
      </c>
      <c r="C173" t="s">
        <v>15</v>
      </c>
      <c r="D173">
        <v>1</v>
      </c>
      <c r="E173">
        <v>1000</v>
      </c>
      <c r="F173">
        <v>-0.4551</v>
      </c>
      <c r="G173">
        <v>-0.34473599999999999</v>
      </c>
      <c r="H173">
        <v>0.1103960292</v>
      </c>
      <c r="I173">
        <v>7.1220000000000006E-2</v>
      </c>
      <c r="J173">
        <v>6.9751999999999995E-2</v>
      </c>
      <c r="K173">
        <v>-2.0619615000000001E-2</v>
      </c>
      <c r="L173">
        <v>-0.24255832399999999</v>
      </c>
      <c r="M173">
        <v>0.63100000000000001</v>
      </c>
      <c r="N173">
        <v>0</v>
      </c>
    </row>
    <row r="174" spans="1:14" x14ac:dyDescent="0.25">
      <c r="A174" t="s">
        <v>142</v>
      </c>
      <c r="B174" t="s">
        <v>353</v>
      </c>
      <c r="C174" t="s">
        <v>16</v>
      </c>
      <c r="D174">
        <v>1</v>
      </c>
      <c r="E174">
        <v>1000</v>
      </c>
      <c r="F174">
        <v>-8.0399999999999999E-2</v>
      </c>
      <c r="G174">
        <v>-3.4223999999999997E-2</v>
      </c>
      <c r="H174">
        <v>4.6182757300000002E-2</v>
      </c>
      <c r="I174">
        <v>8.2293000000000005E-2</v>
      </c>
      <c r="J174">
        <v>8.3600999999999995E-2</v>
      </c>
      <c r="K174">
        <v>1.5885097800000001E-2</v>
      </c>
      <c r="L174">
        <v>-0.57436572500000005</v>
      </c>
      <c r="M174">
        <v>0.92400000000000004</v>
      </c>
      <c r="N174">
        <v>0</v>
      </c>
    </row>
    <row r="175" spans="1:14" x14ac:dyDescent="0.25">
      <c r="A175" t="s">
        <v>142</v>
      </c>
      <c r="B175" t="s">
        <v>353</v>
      </c>
      <c r="C175" t="s">
        <v>17</v>
      </c>
      <c r="D175">
        <v>1</v>
      </c>
      <c r="E175">
        <v>1000</v>
      </c>
      <c r="F175">
        <v>-0.1255</v>
      </c>
      <c r="G175">
        <v>-0.117951</v>
      </c>
      <c r="H175">
        <v>7.5141703999999998E-3</v>
      </c>
      <c r="I175">
        <v>9.9310000000000006E-3</v>
      </c>
      <c r="J175">
        <v>1.0119E-2</v>
      </c>
      <c r="K175">
        <v>1.8902958800000001E-2</v>
      </c>
      <c r="L175">
        <v>-5.9890687999999997E-2</v>
      </c>
      <c r="M175">
        <v>0.85399999999999998</v>
      </c>
      <c r="N175">
        <v>0</v>
      </c>
    </row>
    <row r="176" spans="1:14" x14ac:dyDescent="0.25">
      <c r="A176" t="s">
        <v>142</v>
      </c>
      <c r="B176" t="s">
        <v>353</v>
      </c>
      <c r="C176" t="s">
        <v>18</v>
      </c>
      <c r="D176">
        <v>1</v>
      </c>
      <c r="E176">
        <v>1000</v>
      </c>
      <c r="F176">
        <v>-1.1999999999999999E-3</v>
      </c>
      <c r="G176">
        <v>-1.0186000000000001E-2</v>
      </c>
      <c r="H176">
        <v>-8.9936579999999999E-3</v>
      </c>
      <c r="I176">
        <v>7.3990000000000002E-3</v>
      </c>
      <c r="J176">
        <v>7.6579999999999999E-3</v>
      </c>
      <c r="K176">
        <v>3.4991804100000003E-2</v>
      </c>
      <c r="L176">
        <v>7.5427037381000002</v>
      </c>
      <c r="M176">
        <v>0.75800000000000001</v>
      </c>
      <c r="N176">
        <v>0</v>
      </c>
    </row>
    <row r="177" spans="1:14" x14ac:dyDescent="0.25">
      <c r="A177" t="s">
        <v>142</v>
      </c>
      <c r="B177" t="s">
        <v>354</v>
      </c>
      <c r="C177" t="s">
        <v>12</v>
      </c>
      <c r="D177">
        <v>1</v>
      </c>
      <c r="E177">
        <v>1000</v>
      </c>
      <c r="F177">
        <v>3.1539000000000001</v>
      </c>
      <c r="G177">
        <v>2.883632</v>
      </c>
      <c r="H177">
        <v>-0.270256365</v>
      </c>
      <c r="I177">
        <v>0.37773200000000001</v>
      </c>
      <c r="J177">
        <v>0.404227</v>
      </c>
      <c r="K177">
        <v>7.01425574E-2</v>
      </c>
      <c r="L177">
        <v>-8.5689901999999998E-2</v>
      </c>
      <c r="M177">
        <v>0.91500000000000004</v>
      </c>
      <c r="N177">
        <v>0</v>
      </c>
    </row>
    <row r="178" spans="1:14" x14ac:dyDescent="0.25">
      <c r="A178" t="s">
        <v>142</v>
      </c>
      <c r="B178" t="s">
        <v>354</v>
      </c>
      <c r="C178" t="s">
        <v>13</v>
      </c>
      <c r="D178">
        <v>1</v>
      </c>
      <c r="E178">
        <v>1000</v>
      </c>
      <c r="F178">
        <v>-0.434</v>
      </c>
      <c r="G178">
        <v>-0.19129499999999999</v>
      </c>
      <c r="H178">
        <v>0.24266515629999999</v>
      </c>
      <c r="I178">
        <v>0.16225899999999999</v>
      </c>
      <c r="J178">
        <v>0.16153699999999999</v>
      </c>
      <c r="K178">
        <v>-4.4493199999999997E-3</v>
      </c>
      <c r="L178">
        <v>-0.55918780400000001</v>
      </c>
      <c r="M178">
        <v>0.68200000000000005</v>
      </c>
      <c r="N178">
        <v>0</v>
      </c>
    </row>
    <row r="179" spans="1:14" x14ac:dyDescent="0.25">
      <c r="A179" t="s">
        <v>142</v>
      </c>
      <c r="B179" t="s">
        <v>354</v>
      </c>
      <c r="C179" t="s">
        <v>14</v>
      </c>
      <c r="D179">
        <v>1</v>
      </c>
      <c r="E179">
        <v>1000</v>
      </c>
      <c r="F179">
        <v>-7.6E-3</v>
      </c>
      <c r="G179">
        <v>-3.7560000000000003E-2</v>
      </c>
      <c r="H179">
        <v>-2.9942420000000001E-2</v>
      </c>
      <c r="I179">
        <v>5.8969000000000001E-2</v>
      </c>
      <c r="J179">
        <v>6.5437999999999996E-2</v>
      </c>
      <c r="K179">
        <v>0.10970622369999999</v>
      </c>
      <c r="L179">
        <v>3.9304773681</v>
      </c>
      <c r="M179">
        <v>0.94599999999999995</v>
      </c>
      <c r="N179">
        <v>0</v>
      </c>
    </row>
    <row r="180" spans="1:14" x14ac:dyDescent="0.25">
      <c r="A180" t="s">
        <v>142</v>
      </c>
      <c r="B180" t="s">
        <v>354</v>
      </c>
      <c r="C180" t="s">
        <v>15</v>
      </c>
      <c r="D180">
        <v>1</v>
      </c>
      <c r="E180">
        <v>1000</v>
      </c>
      <c r="F180">
        <v>-0.4551</v>
      </c>
      <c r="G180">
        <v>-0.52155600000000002</v>
      </c>
      <c r="H180">
        <v>-6.6424580999999996E-2</v>
      </c>
      <c r="I180">
        <v>8.0267000000000005E-2</v>
      </c>
      <c r="J180">
        <v>8.2382999999999998E-2</v>
      </c>
      <c r="K180">
        <v>2.6369665300000001E-2</v>
      </c>
      <c r="L180">
        <v>0.1459457844</v>
      </c>
      <c r="M180">
        <v>0.84699999999999998</v>
      </c>
      <c r="N180">
        <v>0</v>
      </c>
    </row>
    <row r="181" spans="1:14" x14ac:dyDescent="0.25">
      <c r="A181" t="s">
        <v>142</v>
      </c>
      <c r="B181" t="s">
        <v>354</v>
      </c>
      <c r="C181" t="s">
        <v>16</v>
      </c>
      <c r="D181">
        <v>1</v>
      </c>
      <c r="E181">
        <v>1000</v>
      </c>
      <c r="F181">
        <v>-8.0399999999999999E-2</v>
      </c>
      <c r="G181">
        <v>-0.135239</v>
      </c>
      <c r="H181">
        <v>-5.4832582999999997E-2</v>
      </c>
      <c r="I181">
        <v>8.1337000000000007E-2</v>
      </c>
      <c r="J181">
        <v>8.6041000000000006E-2</v>
      </c>
      <c r="K181">
        <v>5.7831436999999999E-2</v>
      </c>
      <c r="L181">
        <v>0.6819418813</v>
      </c>
      <c r="M181">
        <v>0.91200000000000003</v>
      </c>
      <c r="N181">
        <v>0</v>
      </c>
    </row>
    <row r="182" spans="1:14" x14ac:dyDescent="0.25">
      <c r="A182" t="s">
        <v>142</v>
      </c>
      <c r="B182" t="s">
        <v>354</v>
      </c>
      <c r="C182" t="s">
        <v>17</v>
      </c>
      <c r="D182">
        <v>1</v>
      </c>
      <c r="E182">
        <v>1000</v>
      </c>
      <c r="F182">
        <v>-0.1255</v>
      </c>
      <c r="G182">
        <v>-0.13534299999999999</v>
      </c>
      <c r="H182">
        <v>-9.8781230000000008E-3</v>
      </c>
      <c r="I182">
        <v>1.0141000000000001E-2</v>
      </c>
      <c r="J182">
        <v>1.1354E-2</v>
      </c>
      <c r="K182">
        <v>0.1196341253</v>
      </c>
      <c r="L182">
        <v>7.8732256200000003E-2</v>
      </c>
      <c r="M182">
        <v>0.86299999999999999</v>
      </c>
      <c r="N182">
        <v>0</v>
      </c>
    </row>
    <row r="183" spans="1:14" x14ac:dyDescent="0.25">
      <c r="A183" t="s">
        <v>142</v>
      </c>
      <c r="B183" t="s">
        <v>354</v>
      </c>
      <c r="C183" t="s">
        <v>18</v>
      </c>
      <c r="D183">
        <v>1</v>
      </c>
      <c r="E183">
        <v>1000</v>
      </c>
      <c r="F183">
        <v>-1.1999999999999999E-3</v>
      </c>
      <c r="G183">
        <v>7.3429999999999997E-3</v>
      </c>
      <c r="H183">
        <v>8.5353743000000006E-3</v>
      </c>
      <c r="I183">
        <v>8.2830000000000004E-3</v>
      </c>
      <c r="J183">
        <v>9.2029999999999994E-3</v>
      </c>
      <c r="K183">
        <v>0.1111258351</v>
      </c>
      <c r="L183">
        <v>-7.1583555380000004</v>
      </c>
      <c r="M183">
        <v>0.83499999999999996</v>
      </c>
      <c r="N183">
        <v>0</v>
      </c>
    </row>
    <row r="184" spans="1:14" x14ac:dyDescent="0.25">
      <c r="A184" t="s">
        <v>142</v>
      </c>
      <c r="B184" t="s">
        <v>355</v>
      </c>
      <c r="C184" t="s">
        <v>12</v>
      </c>
      <c r="D184">
        <v>1</v>
      </c>
      <c r="E184">
        <v>1000</v>
      </c>
      <c r="F184">
        <v>3.1539000000000001</v>
      </c>
      <c r="G184">
        <v>3.1676310000000001</v>
      </c>
      <c r="H184">
        <v>1.3742812E-2</v>
      </c>
      <c r="I184">
        <v>0.30263899999999999</v>
      </c>
      <c r="J184">
        <v>0.33338499999999999</v>
      </c>
      <c r="K184">
        <v>0.10159187309999999</v>
      </c>
      <c r="L184">
        <v>4.3574190000000004E-3</v>
      </c>
      <c r="M184">
        <v>0.96</v>
      </c>
      <c r="N184">
        <v>0</v>
      </c>
    </row>
    <row r="185" spans="1:14" x14ac:dyDescent="0.25">
      <c r="A185" t="s">
        <v>142</v>
      </c>
      <c r="B185" t="s">
        <v>355</v>
      </c>
      <c r="C185" t="s">
        <v>13</v>
      </c>
      <c r="D185">
        <v>1</v>
      </c>
      <c r="E185">
        <v>1000</v>
      </c>
      <c r="F185">
        <v>-0.434</v>
      </c>
      <c r="G185">
        <v>-0.41272399999999998</v>
      </c>
      <c r="H185">
        <v>2.1236347999999999E-2</v>
      </c>
      <c r="I185">
        <v>0.116692</v>
      </c>
      <c r="J185">
        <v>0.124699</v>
      </c>
      <c r="K185">
        <v>6.8610539999999998E-2</v>
      </c>
      <c r="L185">
        <v>-4.8936184000000001E-2</v>
      </c>
      <c r="M185">
        <v>0.95199999999999996</v>
      </c>
      <c r="N185">
        <v>0</v>
      </c>
    </row>
    <row r="186" spans="1:14" x14ac:dyDescent="0.25">
      <c r="A186" t="s">
        <v>142</v>
      </c>
      <c r="B186" t="s">
        <v>355</v>
      </c>
      <c r="C186" t="s">
        <v>14</v>
      </c>
      <c r="D186">
        <v>1</v>
      </c>
      <c r="E186">
        <v>1000</v>
      </c>
      <c r="F186">
        <v>-7.6E-3</v>
      </c>
      <c r="G186">
        <v>-1.9073E-2</v>
      </c>
      <c r="H186">
        <v>-1.1454671E-2</v>
      </c>
      <c r="I186">
        <v>5.8333000000000003E-2</v>
      </c>
      <c r="J186">
        <v>6.2050000000000001E-2</v>
      </c>
      <c r="K186">
        <v>6.3735111699999999E-2</v>
      </c>
      <c r="L186">
        <v>1.5036301283</v>
      </c>
      <c r="M186">
        <v>0.95799999999999996</v>
      </c>
      <c r="N186">
        <v>0</v>
      </c>
    </row>
    <row r="187" spans="1:14" x14ac:dyDescent="0.25">
      <c r="A187" t="s">
        <v>142</v>
      </c>
      <c r="B187" t="s">
        <v>355</v>
      </c>
      <c r="C187" t="s">
        <v>15</v>
      </c>
      <c r="D187">
        <v>1</v>
      </c>
      <c r="E187">
        <v>1000</v>
      </c>
      <c r="F187">
        <v>-0.4551</v>
      </c>
      <c r="G187">
        <v>-0.49490000000000001</v>
      </c>
      <c r="H187">
        <v>-3.9768283000000001E-2</v>
      </c>
      <c r="I187">
        <v>9.4832E-2</v>
      </c>
      <c r="J187">
        <v>9.3124999999999999E-2</v>
      </c>
      <c r="K187">
        <v>-1.7996224000000002E-2</v>
      </c>
      <c r="L187">
        <v>8.7377492200000004E-2</v>
      </c>
      <c r="M187">
        <v>0.85599999999999998</v>
      </c>
      <c r="N187">
        <v>0</v>
      </c>
    </row>
    <row r="188" spans="1:14" x14ac:dyDescent="0.25">
      <c r="A188" t="s">
        <v>142</v>
      </c>
      <c r="B188" t="s">
        <v>355</v>
      </c>
      <c r="C188" t="s">
        <v>16</v>
      </c>
      <c r="D188">
        <v>1</v>
      </c>
      <c r="E188">
        <v>1000</v>
      </c>
      <c r="F188">
        <v>-8.0399999999999999E-2</v>
      </c>
      <c r="G188">
        <v>-8.7982000000000005E-2</v>
      </c>
      <c r="H188">
        <v>-7.5759299999999998E-3</v>
      </c>
      <c r="I188">
        <v>7.0910000000000001E-2</v>
      </c>
      <c r="J188">
        <v>7.6911999999999994E-2</v>
      </c>
      <c r="K188">
        <v>8.4634657200000005E-2</v>
      </c>
      <c r="L188">
        <v>9.4220326300000004E-2</v>
      </c>
      <c r="M188">
        <v>0.96699999999999997</v>
      </c>
      <c r="N188">
        <v>0</v>
      </c>
    </row>
    <row r="189" spans="1:14" x14ac:dyDescent="0.25">
      <c r="A189" t="s">
        <v>142</v>
      </c>
      <c r="B189" t="s">
        <v>355</v>
      </c>
      <c r="C189" t="s">
        <v>17</v>
      </c>
      <c r="D189">
        <v>1</v>
      </c>
      <c r="E189">
        <v>1000</v>
      </c>
      <c r="F189">
        <v>-0.1255</v>
      </c>
      <c r="G189">
        <v>-0.13025400000000001</v>
      </c>
      <c r="H189">
        <v>-4.7893720000000001E-3</v>
      </c>
      <c r="I189">
        <v>9.0480000000000005E-3</v>
      </c>
      <c r="J189">
        <v>9.2270000000000008E-3</v>
      </c>
      <c r="K189">
        <v>1.9742460100000001E-2</v>
      </c>
      <c r="L189">
        <v>3.8173050200000003E-2</v>
      </c>
      <c r="M189">
        <v>0.91800000000000004</v>
      </c>
      <c r="N189">
        <v>0</v>
      </c>
    </row>
    <row r="190" spans="1:14" x14ac:dyDescent="0.25">
      <c r="A190" t="s">
        <v>142</v>
      </c>
      <c r="B190" t="s">
        <v>355</v>
      </c>
      <c r="C190" t="s">
        <v>18</v>
      </c>
      <c r="D190">
        <v>1</v>
      </c>
      <c r="E190">
        <v>1000</v>
      </c>
      <c r="F190">
        <v>-1.1999999999999999E-3</v>
      </c>
      <c r="G190">
        <v>2.715E-3</v>
      </c>
      <c r="H190">
        <v>3.9073865999999999E-3</v>
      </c>
      <c r="I190">
        <v>6.9820000000000004E-3</v>
      </c>
      <c r="J190">
        <v>7.2009999999999999E-3</v>
      </c>
      <c r="K190">
        <v>3.1417913200000001E-2</v>
      </c>
      <c r="L190">
        <v>-3.277004823</v>
      </c>
      <c r="M190">
        <v>0.90900000000000003</v>
      </c>
      <c r="N190">
        <v>0</v>
      </c>
    </row>
    <row r="191" spans="1:14" x14ac:dyDescent="0.25">
      <c r="A191" t="s">
        <v>142</v>
      </c>
      <c r="B191" t="s">
        <v>356</v>
      </c>
      <c r="C191" t="s">
        <v>12</v>
      </c>
      <c r="D191">
        <v>1</v>
      </c>
      <c r="E191">
        <v>1000</v>
      </c>
      <c r="F191">
        <v>3.1539000000000001</v>
      </c>
      <c r="G191">
        <v>3.2018689999999999</v>
      </c>
      <c r="H191">
        <v>4.7980514000000002E-2</v>
      </c>
      <c r="I191">
        <v>0.30288300000000001</v>
      </c>
      <c r="J191">
        <v>0.33108900000000002</v>
      </c>
      <c r="K191">
        <v>9.3122405199999994E-2</v>
      </c>
      <c r="L191">
        <v>1.52131312E-2</v>
      </c>
      <c r="M191">
        <v>0.95799999999999996</v>
      </c>
      <c r="N191">
        <v>0</v>
      </c>
    </row>
    <row r="192" spans="1:14" x14ac:dyDescent="0.25">
      <c r="A192" t="s">
        <v>142</v>
      </c>
      <c r="B192" t="s">
        <v>356</v>
      </c>
      <c r="C192" t="s">
        <v>13</v>
      </c>
      <c r="D192">
        <v>1</v>
      </c>
      <c r="E192">
        <v>1000</v>
      </c>
      <c r="F192">
        <v>-0.434</v>
      </c>
      <c r="G192">
        <v>-0.39732600000000001</v>
      </c>
      <c r="H192">
        <v>3.6634337699999998E-2</v>
      </c>
      <c r="I192">
        <v>0.117106</v>
      </c>
      <c r="J192">
        <v>0.124932</v>
      </c>
      <c r="K192">
        <v>6.6827391599999994E-2</v>
      </c>
      <c r="L192">
        <v>-8.4418691000000004E-2</v>
      </c>
      <c r="M192">
        <v>0.93600000000000005</v>
      </c>
      <c r="N192">
        <v>0</v>
      </c>
    </row>
    <row r="193" spans="1:14" x14ac:dyDescent="0.25">
      <c r="A193" t="s">
        <v>142</v>
      </c>
      <c r="B193" t="s">
        <v>356</v>
      </c>
      <c r="C193" t="s">
        <v>14</v>
      </c>
      <c r="D193">
        <v>1</v>
      </c>
      <c r="E193">
        <v>1000</v>
      </c>
      <c r="F193">
        <v>-7.6E-3</v>
      </c>
      <c r="G193">
        <v>-2.1446E-2</v>
      </c>
      <c r="H193">
        <v>-1.3828307E-2</v>
      </c>
      <c r="I193">
        <v>5.8888000000000003E-2</v>
      </c>
      <c r="J193">
        <v>6.2546000000000004E-2</v>
      </c>
      <c r="K193">
        <v>6.2116579999999998E-2</v>
      </c>
      <c r="L193">
        <v>1.8152122340000001</v>
      </c>
      <c r="M193">
        <v>0.95599999999999996</v>
      </c>
      <c r="N193">
        <v>0</v>
      </c>
    </row>
    <row r="194" spans="1:14" x14ac:dyDescent="0.25">
      <c r="A194" t="s">
        <v>142</v>
      </c>
      <c r="B194" t="s">
        <v>356</v>
      </c>
      <c r="C194" t="s">
        <v>15</v>
      </c>
      <c r="D194">
        <v>1</v>
      </c>
      <c r="E194">
        <v>1000</v>
      </c>
      <c r="F194">
        <v>-0.4551</v>
      </c>
      <c r="G194">
        <v>-0.51023799999999997</v>
      </c>
      <c r="H194">
        <v>-5.5106421000000003E-2</v>
      </c>
      <c r="I194">
        <v>8.6928000000000005E-2</v>
      </c>
      <c r="J194">
        <v>8.9324000000000001E-2</v>
      </c>
      <c r="K194">
        <v>2.75604409E-2</v>
      </c>
      <c r="L194">
        <v>0.12107791530000001</v>
      </c>
      <c r="M194">
        <v>0.84</v>
      </c>
      <c r="N194">
        <v>0</v>
      </c>
    </row>
    <row r="195" spans="1:14" x14ac:dyDescent="0.25">
      <c r="A195" t="s">
        <v>142</v>
      </c>
      <c r="B195" t="s">
        <v>356</v>
      </c>
      <c r="C195" t="s">
        <v>16</v>
      </c>
      <c r="D195">
        <v>1</v>
      </c>
      <c r="E195">
        <v>1000</v>
      </c>
      <c r="F195">
        <v>-8.0399999999999999E-2</v>
      </c>
      <c r="G195">
        <v>-9.0567999999999996E-2</v>
      </c>
      <c r="H195">
        <v>-1.0161819000000001E-2</v>
      </c>
      <c r="I195">
        <v>7.1233000000000005E-2</v>
      </c>
      <c r="J195">
        <v>7.7491000000000004E-2</v>
      </c>
      <c r="K195">
        <v>8.78467515E-2</v>
      </c>
      <c r="L195">
        <v>0.12638051410000001</v>
      </c>
      <c r="M195">
        <v>0.97199999999999998</v>
      </c>
      <c r="N195">
        <v>0</v>
      </c>
    </row>
    <row r="196" spans="1:14" x14ac:dyDescent="0.25">
      <c r="A196" t="s">
        <v>142</v>
      </c>
      <c r="B196" t="s">
        <v>356</v>
      </c>
      <c r="C196" t="s">
        <v>17</v>
      </c>
      <c r="D196">
        <v>1</v>
      </c>
      <c r="E196">
        <v>1000</v>
      </c>
      <c r="F196">
        <v>-0.1255</v>
      </c>
      <c r="G196">
        <v>-0.13078699999999999</v>
      </c>
      <c r="H196">
        <v>-5.3227379999999996E-3</v>
      </c>
      <c r="I196">
        <v>8.6759999999999997E-3</v>
      </c>
      <c r="J196">
        <v>8.9339999999999992E-3</v>
      </c>
      <c r="K196">
        <v>2.97585444E-2</v>
      </c>
      <c r="L196">
        <v>4.24241707E-2</v>
      </c>
      <c r="M196">
        <v>0.92300000000000004</v>
      </c>
      <c r="N196">
        <v>0</v>
      </c>
    </row>
    <row r="197" spans="1:14" x14ac:dyDescent="0.25">
      <c r="A197" t="s">
        <v>142</v>
      </c>
      <c r="B197" t="s">
        <v>356</v>
      </c>
      <c r="C197" t="s">
        <v>18</v>
      </c>
      <c r="D197">
        <v>1</v>
      </c>
      <c r="E197">
        <v>1000</v>
      </c>
      <c r="F197">
        <v>-1.1999999999999999E-3</v>
      </c>
      <c r="G197">
        <v>3.1909999999999998E-3</v>
      </c>
      <c r="H197">
        <v>4.3833263000000004E-3</v>
      </c>
      <c r="I197">
        <v>6.3119999999999999E-3</v>
      </c>
      <c r="J197">
        <v>6.8469999999999998E-3</v>
      </c>
      <c r="K197">
        <v>8.4760186299999998E-2</v>
      </c>
      <c r="L197">
        <v>-3.676160726</v>
      </c>
      <c r="M197">
        <v>0.92300000000000004</v>
      </c>
      <c r="N197">
        <v>0</v>
      </c>
    </row>
    <row r="198" spans="1:14" x14ac:dyDescent="0.25">
      <c r="A198" t="s">
        <v>142</v>
      </c>
      <c r="B198" t="s">
        <v>629</v>
      </c>
      <c r="C198" t="s">
        <v>12</v>
      </c>
      <c r="D198">
        <v>1</v>
      </c>
      <c r="E198">
        <v>960</v>
      </c>
      <c r="F198">
        <v>106.8125</v>
      </c>
      <c r="G198">
        <v>106.499112</v>
      </c>
      <c r="H198">
        <v>-0.31334494200000002</v>
      </c>
      <c r="I198">
        <v>2.5567129999999998</v>
      </c>
      <c r="J198">
        <v>2.5986129999999998</v>
      </c>
      <c r="K198">
        <v>1.6388090399999999E-2</v>
      </c>
      <c r="L198">
        <v>-2.9335989999999998E-3</v>
      </c>
      <c r="M198">
        <v>0.95416666670000005</v>
      </c>
      <c r="N198">
        <v>0</v>
      </c>
    </row>
    <row r="199" spans="1:14" x14ac:dyDescent="0.25">
      <c r="A199" t="s">
        <v>142</v>
      </c>
      <c r="B199" t="s">
        <v>629</v>
      </c>
      <c r="C199" t="s">
        <v>13</v>
      </c>
      <c r="D199">
        <v>1</v>
      </c>
      <c r="E199">
        <v>960</v>
      </c>
      <c r="F199">
        <v>-4.7992999999999997</v>
      </c>
      <c r="G199">
        <v>-5.0320359999999997</v>
      </c>
      <c r="H199">
        <v>-0.23275431999999999</v>
      </c>
      <c r="I199">
        <v>0.97651200000000005</v>
      </c>
      <c r="J199">
        <v>1.007242</v>
      </c>
      <c r="K199">
        <v>3.1469251400000002E-2</v>
      </c>
      <c r="L199">
        <v>4.8497738999999998E-2</v>
      </c>
      <c r="M199">
        <v>0.94583333329999997</v>
      </c>
      <c r="N199">
        <v>0</v>
      </c>
    </row>
    <row r="200" spans="1:14" x14ac:dyDescent="0.25">
      <c r="A200" t="s">
        <v>142</v>
      </c>
      <c r="B200" t="s">
        <v>629</v>
      </c>
      <c r="C200" t="s">
        <v>14</v>
      </c>
      <c r="D200">
        <v>1</v>
      </c>
      <c r="E200">
        <v>960</v>
      </c>
      <c r="F200">
        <v>8.7021999999999995</v>
      </c>
      <c r="G200">
        <v>8.7261799999999994</v>
      </c>
      <c r="H200">
        <v>2.39731309E-2</v>
      </c>
      <c r="I200">
        <v>0.573963</v>
      </c>
      <c r="J200">
        <v>0.59242399999999995</v>
      </c>
      <c r="K200">
        <v>3.2164750499999999E-2</v>
      </c>
      <c r="L200">
        <v>2.7548333E-3</v>
      </c>
      <c r="M200">
        <v>0.96145833329999997</v>
      </c>
      <c r="N200">
        <v>0</v>
      </c>
    </row>
    <row r="201" spans="1:14" x14ac:dyDescent="0.25">
      <c r="A201" t="s">
        <v>142</v>
      </c>
      <c r="B201" t="s">
        <v>629</v>
      </c>
      <c r="C201" t="s">
        <v>15</v>
      </c>
      <c r="D201">
        <v>1</v>
      </c>
      <c r="E201">
        <v>960</v>
      </c>
      <c r="F201">
        <v>-1.5806</v>
      </c>
      <c r="G201">
        <v>-1.7070129999999999</v>
      </c>
      <c r="H201">
        <v>-0.126386733</v>
      </c>
      <c r="I201">
        <v>0.70760400000000001</v>
      </c>
      <c r="J201">
        <v>0.69978799999999997</v>
      </c>
      <c r="K201">
        <v>-1.1045434E-2</v>
      </c>
      <c r="L201">
        <v>7.9959926900000006E-2</v>
      </c>
      <c r="M201">
        <v>0.95104166670000001</v>
      </c>
      <c r="N201">
        <v>0</v>
      </c>
    </row>
    <row r="202" spans="1:14" x14ac:dyDescent="0.25">
      <c r="A202" t="s">
        <v>142</v>
      </c>
      <c r="B202" t="s">
        <v>629</v>
      </c>
      <c r="C202" t="s">
        <v>16</v>
      </c>
      <c r="D202">
        <v>1</v>
      </c>
      <c r="E202">
        <v>960</v>
      </c>
      <c r="F202">
        <v>-7.7763999999999998</v>
      </c>
      <c r="G202">
        <v>-7.9106199999999998</v>
      </c>
      <c r="H202">
        <v>-0.134191386</v>
      </c>
      <c r="I202">
        <v>0.71680100000000002</v>
      </c>
      <c r="J202">
        <v>0.74121700000000001</v>
      </c>
      <c r="K202">
        <v>3.4062150999999999E-2</v>
      </c>
      <c r="L202">
        <v>1.72561707E-2</v>
      </c>
      <c r="M202">
        <v>0.95833333330000003</v>
      </c>
      <c r="N202">
        <v>0</v>
      </c>
    </row>
    <row r="203" spans="1:14" x14ac:dyDescent="0.25">
      <c r="A203" t="s">
        <v>142</v>
      </c>
      <c r="B203" t="s">
        <v>629</v>
      </c>
      <c r="C203" t="s">
        <v>17</v>
      </c>
      <c r="D203">
        <v>1</v>
      </c>
      <c r="E203">
        <v>960</v>
      </c>
      <c r="F203">
        <v>5.8643999999999998</v>
      </c>
      <c r="G203">
        <v>5.839575</v>
      </c>
      <c r="H203">
        <v>-2.4836057000000002E-2</v>
      </c>
      <c r="I203">
        <v>4.3497000000000001E-2</v>
      </c>
      <c r="J203">
        <v>4.5622000000000003E-2</v>
      </c>
      <c r="K203">
        <v>4.8852524799999998E-2</v>
      </c>
      <c r="L203">
        <v>-4.2350469999999996E-3</v>
      </c>
      <c r="M203">
        <v>0.95416666670000005</v>
      </c>
      <c r="N203">
        <v>0</v>
      </c>
    </row>
    <row r="204" spans="1:14" x14ac:dyDescent="0.25">
      <c r="A204" t="s">
        <v>142</v>
      </c>
      <c r="B204" t="s">
        <v>629</v>
      </c>
      <c r="C204" t="s">
        <v>18</v>
      </c>
      <c r="D204">
        <v>1</v>
      </c>
      <c r="E204">
        <v>960</v>
      </c>
      <c r="F204">
        <v>3.2099999999999997E-2</v>
      </c>
      <c r="G204">
        <v>5.7153000000000002E-2</v>
      </c>
      <c r="H204">
        <v>2.5044775500000001E-2</v>
      </c>
      <c r="I204">
        <v>3.3794999999999999E-2</v>
      </c>
      <c r="J204">
        <v>3.5561000000000002E-2</v>
      </c>
      <c r="K204">
        <v>5.2262745300000003E-2</v>
      </c>
      <c r="L204">
        <v>0.78000714930000004</v>
      </c>
      <c r="M204">
        <v>0.93020833329999997</v>
      </c>
      <c r="N204">
        <v>0</v>
      </c>
    </row>
    <row r="205" spans="1:14" x14ac:dyDescent="0.25">
      <c r="A205" t="s">
        <v>142</v>
      </c>
      <c r="B205" t="s">
        <v>630</v>
      </c>
      <c r="C205" t="s">
        <v>12</v>
      </c>
      <c r="D205">
        <v>1</v>
      </c>
      <c r="E205">
        <v>885</v>
      </c>
      <c r="F205">
        <v>3.1539000000000001</v>
      </c>
      <c r="G205">
        <v>3.1882450000000002</v>
      </c>
      <c r="H205">
        <v>3.4357296500000002E-2</v>
      </c>
      <c r="I205">
        <v>0.29749399999999998</v>
      </c>
      <c r="J205">
        <v>0.33068700000000001</v>
      </c>
      <c r="K205">
        <v>0.1115730682</v>
      </c>
      <c r="L205">
        <v>1.0893631900000001E-2</v>
      </c>
      <c r="M205">
        <v>0.95819209039999997</v>
      </c>
      <c r="N205">
        <v>0</v>
      </c>
    </row>
    <row r="206" spans="1:14" x14ac:dyDescent="0.25">
      <c r="A206" t="s">
        <v>142</v>
      </c>
      <c r="B206" t="s">
        <v>630</v>
      </c>
      <c r="C206" t="s">
        <v>13</v>
      </c>
      <c r="D206">
        <v>1</v>
      </c>
      <c r="E206">
        <v>885</v>
      </c>
      <c r="F206">
        <v>-0.434</v>
      </c>
      <c r="G206">
        <v>-0.39889400000000003</v>
      </c>
      <c r="H206">
        <v>3.5066112900000002E-2</v>
      </c>
      <c r="I206">
        <v>0.11601499999999999</v>
      </c>
      <c r="J206">
        <v>0.12447</v>
      </c>
      <c r="K206">
        <v>7.2883530700000004E-2</v>
      </c>
      <c r="L206">
        <v>-8.0804936999999993E-2</v>
      </c>
      <c r="M206">
        <v>0.93559322030000003</v>
      </c>
      <c r="N206">
        <v>0</v>
      </c>
    </row>
    <row r="207" spans="1:14" x14ac:dyDescent="0.25">
      <c r="A207" t="s">
        <v>142</v>
      </c>
      <c r="B207" t="s">
        <v>630</v>
      </c>
      <c r="C207" t="s">
        <v>14</v>
      </c>
      <c r="D207">
        <v>1</v>
      </c>
      <c r="E207">
        <v>885</v>
      </c>
      <c r="F207">
        <v>-7.6E-3</v>
      </c>
      <c r="G207">
        <v>-2.2585999999999998E-2</v>
      </c>
      <c r="H207">
        <v>-1.4967851000000001E-2</v>
      </c>
      <c r="I207">
        <v>5.7076000000000002E-2</v>
      </c>
      <c r="J207">
        <v>6.1676000000000002E-2</v>
      </c>
      <c r="K207">
        <v>8.06092853E-2</v>
      </c>
      <c r="L207">
        <v>1.9647977939000001</v>
      </c>
      <c r="M207">
        <v>0.95367231640000005</v>
      </c>
      <c r="N207">
        <v>0</v>
      </c>
    </row>
    <row r="208" spans="1:14" x14ac:dyDescent="0.25">
      <c r="A208" t="s">
        <v>142</v>
      </c>
      <c r="B208" t="s">
        <v>630</v>
      </c>
      <c r="C208" t="s">
        <v>15</v>
      </c>
      <c r="D208">
        <v>1</v>
      </c>
      <c r="E208">
        <v>885</v>
      </c>
      <c r="F208">
        <v>-0.4551</v>
      </c>
      <c r="G208">
        <v>-0.51294399999999996</v>
      </c>
      <c r="H208">
        <v>-5.7812329000000003E-2</v>
      </c>
      <c r="I208">
        <v>8.6645E-2</v>
      </c>
      <c r="J208">
        <v>8.9452000000000004E-2</v>
      </c>
      <c r="K208">
        <v>3.2391855900000002E-2</v>
      </c>
      <c r="L208">
        <v>0.1270232426</v>
      </c>
      <c r="M208">
        <v>0.83389830509999996</v>
      </c>
      <c r="N208">
        <v>0</v>
      </c>
    </row>
    <row r="209" spans="1:14" x14ac:dyDescent="0.25">
      <c r="A209" t="s">
        <v>142</v>
      </c>
      <c r="B209" t="s">
        <v>630</v>
      </c>
      <c r="C209" t="s">
        <v>16</v>
      </c>
      <c r="D209">
        <v>1</v>
      </c>
      <c r="E209">
        <v>885</v>
      </c>
      <c r="F209">
        <v>-8.0399999999999999E-2</v>
      </c>
      <c r="G209">
        <v>-8.9098999999999998E-2</v>
      </c>
      <c r="H209">
        <v>-8.6926350000000006E-3</v>
      </c>
      <c r="I209">
        <v>7.1054999999999993E-2</v>
      </c>
      <c r="J209">
        <v>7.6451000000000005E-2</v>
      </c>
      <c r="K209">
        <v>7.59424972E-2</v>
      </c>
      <c r="L209">
        <v>0.10810856219999999</v>
      </c>
      <c r="M209">
        <v>0.96497175140000002</v>
      </c>
      <c r="N209">
        <v>0</v>
      </c>
    </row>
    <row r="210" spans="1:14" x14ac:dyDescent="0.25">
      <c r="A210" t="s">
        <v>142</v>
      </c>
      <c r="B210" t="s">
        <v>630</v>
      </c>
      <c r="C210" t="s">
        <v>17</v>
      </c>
      <c r="D210">
        <v>1</v>
      </c>
      <c r="E210">
        <v>885</v>
      </c>
      <c r="F210">
        <v>-0.1255</v>
      </c>
      <c r="G210">
        <v>-0.131497</v>
      </c>
      <c r="H210">
        <v>-6.031982E-3</v>
      </c>
      <c r="I210">
        <v>8.8830000000000003E-3</v>
      </c>
      <c r="J210">
        <v>9.1660000000000005E-3</v>
      </c>
      <c r="K210">
        <v>3.18861992E-2</v>
      </c>
      <c r="L210">
        <v>4.8077105000000002E-2</v>
      </c>
      <c r="M210">
        <v>0.90395480230000003</v>
      </c>
      <c r="N210">
        <v>0</v>
      </c>
    </row>
    <row r="211" spans="1:14" x14ac:dyDescent="0.25">
      <c r="A211" t="s">
        <v>142</v>
      </c>
      <c r="B211" t="s">
        <v>630</v>
      </c>
      <c r="C211" t="s">
        <v>18</v>
      </c>
      <c r="D211">
        <v>1</v>
      </c>
      <c r="E211">
        <v>885</v>
      </c>
      <c r="F211">
        <v>-1.1999999999999999E-3</v>
      </c>
      <c r="G211">
        <v>3.9039999999999999E-3</v>
      </c>
      <c r="H211">
        <v>5.0962170000000001E-3</v>
      </c>
      <c r="I211">
        <v>6.6600000000000001E-3</v>
      </c>
      <c r="J211">
        <v>7.1390000000000004E-3</v>
      </c>
      <c r="K211">
        <v>7.2026833400000004E-2</v>
      </c>
      <c r="L211">
        <v>-4.274040265</v>
      </c>
      <c r="M211">
        <v>0.90734463279999999</v>
      </c>
      <c r="N211">
        <v>0</v>
      </c>
    </row>
    <row r="212" spans="1:14" x14ac:dyDescent="0.25">
      <c r="A212" t="s">
        <v>142</v>
      </c>
      <c r="B212" t="s">
        <v>164</v>
      </c>
      <c r="C212" t="s">
        <v>12</v>
      </c>
      <c r="D212">
        <v>1</v>
      </c>
      <c r="E212">
        <v>1000</v>
      </c>
      <c r="F212">
        <v>106.8125</v>
      </c>
      <c r="G212">
        <v>107.109078</v>
      </c>
      <c r="H212">
        <v>0.2966212453</v>
      </c>
      <c r="I212">
        <v>2.6294149999999998</v>
      </c>
      <c r="J212">
        <v>2.623837</v>
      </c>
      <c r="K212">
        <v>-2.1212150000000001E-3</v>
      </c>
      <c r="L212">
        <v>2.7770286000000002E-3</v>
      </c>
      <c r="M212">
        <v>0.94499999999999995</v>
      </c>
      <c r="N212">
        <v>1</v>
      </c>
    </row>
    <row r="213" spans="1:14" x14ac:dyDescent="0.25">
      <c r="A213" t="s">
        <v>142</v>
      </c>
      <c r="B213" t="s">
        <v>164</v>
      </c>
      <c r="C213" t="s">
        <v>13</v>
      </c>
      <c r="D213">
        <v>1</v>
      </c>
      <c r="E213">
        <v>1000</v>
      </c>
      <c r="F213">
        <v>-4.7992999999999997</v>
      </c>
      <c r="G213">
        <v>-4.6754619999999996</v>
      </c>
      <c r="H213">
        <v>0.1238200602</v>
      </c>
      <c r="I213">
        <v>1.0377460000000001</v>
      </c>
      <c r="J213">
        <v>1.044022</v>
      </c>
      <c r="K213">
        <v>6.0479866000000002E-3</v>
      </c>
      <c r="L213">
        <v>-2.5799705999999999E-2</v>
      </c>
      <c r="M213">
        <v>0.95699999999999996</v>
      </c>
      <c r="N213">
        <v>0.996</v>
      </c>
    </row>
    <row r="214" spans="1:14" x14ac:dyDescent="0.25">
      <c r="A214" t="s">
        <v>142</v>
      </c>
      <c r="B214" t="s">
        <v>164</v>
      </c>
      <c r="C214" t="s">
        <v>14</v>
      </c>
      <c r="D214">
        <v>1</v>
      </c>
      <c r="E214">
        <v>1000</v>
      </c>
      <c r="F214">
        <v>8.7021999999999995</v>
      </c>
      <c r="G214">
        <v>8.6191490000000002</v>
      </c>
      <c r="H214">
        <v>-8.3058248000000001E-2</v>
      </c>
      <c r="I214">
        <v>0.61757200000000001</v>
      </c>
      <c r="J214">
        <v>0.59816000000000003</v>
      </c>
      <c r="K214">
        <v>-3.1434015000000003E-2</v>
      </c>
      <c r="L214">
        <v>-9.5445029999999993E-3</v>
      </c>
      <c r="M214">
        <v>0.93500000000000005</v>
      </c>
      <c r="N214">
        <v>1</v>
      </c>
    </row>
    <row r="215" spans="1:14" x14ac:dyDescent="0.25">
      <c r="A215" t="s">
        <v>142</v>
      </c>
      <c r="B215" t="s">
        <v>164</v>
      </c>
      <c r="C215" t="s">
        <v>15</v>
      </c>
      <c r="D215">
        <v>1</v>
      </c>
      <c r="E215">
        <v>1000</v>
      </c>
      <c r="F215">
        <v>-1.5806</v>
      </c>
      <c r="G215">
        <v>-1.752356</v>
      </c>
      <c r="H215">
        <v>-0.17172985399999999</v>
      </c>
      <c r="I215">
        <v>0.67419200000000001</v>
      </c>
      <c r="J215">
        <v>0.67522199999999999</v>
      </c>
      <c r="K215">
        <v>1.5278427E-3</v>
      </c>
      <c r="L215">
        <v>0.1086467406</v>
      </c>
      <c r="M215">
        <v>0.94099999999999995</v>
      </c>
      <c r="N215">
        <v>0.73699999999999999</v>
      </c>
    </row>
    <row r="216" spans="1:14" x14ac:dyDescent="0.25">
      <c r="A216" t="s">
        <v>142</v>
      </c>
      <c r="B216" t="s">
        <v>164</v>
      </c>
      <c r="C216" t="s">
        <v>16</v>
      </c>
      <c r="D216">
        <v>1</v>
      </c>
      <c r="E216">
        <v>1000</v>
      </c>
      <c r="F216">
        <v>-7.7763999999999998</v>
      </c>
      <c r="G216">
        <v>-7.8557350000000001</v>
      </c>
      <c r="H216">
        <v>-7.9305990000000007E-2</v>
      </c>
      <c r="I216">
        <v>0.77971299999999999</v>
      </c>
      <c r="J216">
        <v>0.77733399999999997</v>
      </c>
      <c r="K216">
        <v>-3.0515310000000001E-3</v>
      </c>
      <c r="L216">
        <v>1.01982529E-2</v>
      </c>
      <c r="M216">
        <v>0.95099999999999996</v>
      </c>
      <c r="N216">
        <v>1</v>
      </c>
    </row>
    <row r="217" spans="1:14" x14ac:dyDescent="0.25">
      <c r="A217" t="s">
        <v>142</v>
      </c>
      <c r="B217" t="s">
        <v>164</v>
      </c>
      <c r="C217" t="s">
        <v>17</v>
      </c>
      <c r="D217">
        <v>1</v>
      </c>
      <c r="E217">
        <v>1000</v>
      </c>
      <c r="F217">
        <v>5.8643999999999998</v>
      </c>
      <c r="G217">
        <v>5.8450420000000003</v>
      </c>
      <c r="H217">
        <v>-1.9368316999999999E-2</v>
      </c>
      <c r="I217">
        <v>3.9044000000000002E-2</v>
      </c>
      <c r="J217">
        <v>4.0112000000000002E-2</v>
      </c>
      <c r="K217">
        <v>2.7343972500000001E-2</v>
      </c>
      <c r="L217">
        <v>-3.3026879999999998E-3</v>
      </c>
      <c r="M217">
        <v>0.93200000000000005</v>
      </c>
      <c r="N217">
        <v>1</v>
      </c>
    </row>
    <row r="218" spans="1:14" x14ac:dyDescent="0.25">
      <c r="A218" t="s">
        <v>142</v>
      </c>
      <c r="B218" t="s">
        <v>164</v>
      </c>
      <c r="C218" t="s">
        <v>18</v>
      </c>
      <c r="D218">
        <v>1</v>
      </c>
      <c r="E218">
        <v>1000</v>
      </c>
      <c r="F218">
        <v>3.2099999999999997E-2</v>
      </c>
      <c r="G218">
        <v>5.1570999999999999E-2</v>
      </c>
      <c r="H218">
        <v>1.9462829599999999E-2</v>
      </c>
      <c r="I218">
        <v>2.4670000000000001E-2</v>
      </c>
      <c r="J218">
        <v>2.3474999999999999E-2</v>
      </c>
      <c r="K218">
        <v>-4.8456843999999999E-2</v>
      </c>
      <c r="L218">
        <v>0.60616020349999999</v>
      </c>
      <c r="M218">
        <v>0.85</v>
      </c>
      <c r="N218">
        <v>0.59599999999999997</v>
      </c>
    </row>
    <row r="219" spans="1:14" x14ac:dyDescent="0.25">
      <c r="A219" t="s">
        <v>142</v>
      </c>
      <c r="B219" t="s">
        <v>169</v>
      </c>
      <c r="C219" t="s">
        <v>12</v>
      </c>
      <c r="D219">
        <v>1</v>
      </c>
      <c r="E219">
        <v>1000</v>
      </c>
      <c r="F219">
        <v>106.8125</v>
      </c>
      <c r="G219">
        <v>105.80912499999999</v>
      </c>
      <c r="H219">
        <v>-1.0033318659999999</v>
      </c>
      <c r="I219">
        <v>2.5842960000000001</v>
      </c>
      <c r="J219">
        <v>2.5688</v>
      </c>
      <c r="K219">
        <v>-5.996492E-3</v>
      </c>
      <c r="L219">
        <v>-9.3933980000000007E-3</v>
      </c>
      <c r="M219">
        <v>0.93400000000000005</v>
      </c>
      <c r="N219">
        <v>1</v>
      </c>
    </row>
    <row r="220" spans="1:14" x14ac:dyDescent="0.25">
      <c r="A220" t="s">
        <v>142</v>
      </c>
      <c r="B220" t="s">
        <v>169</v>
      </c>
      <c r="C220" t="s">
        <v>13</v>
      </c>
      <c r="D220">
        <v>1</v>
      </c>
      <c r="E220">
        <v>1000</v>
      </c>
      <c r="F220">
        <v>-4.7992999999999997</v>
      </c>
      <c r="G220">
        <v>-4.108282</v>
      </c>
      <c r="H220">
        <v>0.69099957629999997</v>
      </c>
      <c r="I220">
        <v>1.026076</v>
      </c>
      <c r="J220">
        <v>1.0304819999999999</v>
      </c>
      <c r="K220">
        <v>4.2941899999999998E-3</v>
      </c>
      <c r="L220">
        <v>-0.143979785</v>
      </c>
      <c r="M220">
        <v>0.89600000000000002</v>
      </c>
      <c r="N220">
        <v>0.97299999999999998</v>
      </c>
    </row>
    <row r="221" spans="1:14" x14ac:dyDescent="0.25">
      <c r="A221" t="s">
        <v>142</v>
      </c>
      <c r="B221" t="s">
        <v>169</v>
      </c>
      <c r="C221" t="s">
        <v>14</v>
      </c>
      <c r="D221">
        <v>1</v>
      </c>
      <c r="E221">
        <v>1000</v>
      </c>
      <c r="F221">
        <v>8.7021999999999995</v>
      </c>
      <c r="G221">
        <v>8.5556260000000002</v>
      </c>
      <c r="H221">
        <v>-0.14658091100000001</v>
      </c>
      <c r="I221">
        <v>0.57508000000000004</v>
      </c>
      <c r="J221">
        <v>0.58588899999999999</v>
      </c>
      <c r="K221">
        <v>1.8795543500000001E-2</v>
      </c>
      <c r="L221">
        <v>-1.6844107000000001E-2</v>
      </c>
      <c r="M221">
        <v>0.94399999999999995</v>
      </c>
      <c r="N221">
        <v>1</v>
      </c>
    </row>
    <row r="222" spans="1:14" x14ac:dyDescent="0.25">
      <c r="A222" t="s">
        <v>142</v>
      </c>
      <c r="B222" t="s">
        <v>169</v>
      </c>
      <c r="C222" t="s">
        <v>15</v>
      </c>
      <c r="D222">
        <v>1</v>
      </c>
      <c r="E222">
        <v>1000</v>
      </c>
      <c r="F222">
        <v>-1.5806</v>
      </c>
      <c r="G222">
        <v>-1.767363</v>
      </c>
      <c r="H222">
        <v>-0.18673695700000001</v>
      </c>
      <c r="I222">
        <v>0.66237699999999999</v>
      </c>
      <c r="J222">
        <v>0.66150600000000004</v>
      </c>
      <c r="K222">
        <v>-1.315292E-3</v>
      </c>
      <c r="L222">
        <v>0.11814114620000001</v>
      </c>
      <c r="M222">
        <v>0.94</v>
      </c>
      <c r="N222">
        <v>0.76400000000000001</v>
      </c>
    </row>
    <row r="223" spans="1:14" x14ac:dyDescent="0.25">
      <c r="A223" t="s">
        <v>142</v>
      </c>
      <c r="B223" t="s">
        <v>169</v>
      </c>
      <c r="C223" t="s">
        <v>16</v>
      </c>
      <c r="D223">
        <v>1</v>
      </c>
      <c r="E223">
        <v>1000</v>
      </c>
      <c r="F223">
        <v>-7.7763999999999998</v>
      </c>
      <c r="G223">
        <v>-7.998583</v>
      </c>
      <c r="H223">
        <v>-0.22215445</v>
      </c>
      <c r="I223">
        <v>0.769069</v>
      </c>
      <c r="J223">
        <v>0.770903</v>
      </c>
      <c r="K223">
        <v>2.3853199000000002E-3</v>
      </c>
      <c r="L223">
        <v>2.85676692E-2</v>
      </c>
      <c r="M223">
        <v>0.94299999999999995</v>
      </c>
      <c r="N223">
        <v>1</v>
      </c>
    </row>
    <row r="224" spans="1:14" x14ac:dyDescent="0.25">
      <c r="A224" t="s">
        <v>142</v>
      </c>
      <c r="B224" t="s">
        <v>169</v>
      </c>
      <c r="C224" t="s">
        <v>17</v>
      </c>
      <c r="D224">
        <v>1</v>
      </c>
      <c r="E224">
        <v>1000</v>
      </c>
      <c r="F224">
        <v>5.8643999999999998</v>
      </c>
      <c r="G224">
        <v>5.8617540000000004</v>
      </c>
      <c r="H224">
        <v>-2.6563060000000002E-3</v>
      </c>
      <c r="I224">
        <v>3.5139999999999998E-2</v>
      </c>
      <c r="J224">
        <v>3.9093999999999997E-2</v>
      </c>
      <c r="K224">
        <v>0.1125358419</v>
      </c>
      <c r="L224">
        <v>-4.5295399999999999E-4</v>
      </c>
      <c r="M224">
        <v>0.97499999999999998</v>
      </c>
      <c r="N224">
        <v>1</v>
      </c>
    </row>
    <row r="225" spans="1:14" x14ac:dyDescent="0.25">
      <c r="A225" t="s">
        <v>142</v>
      </c>
      <c r="B225" t="s">
        <v>169</v>
      </c>
      <c r="C225" t="s">
        <v>18</v>
      </c>
      <c r="D225">
        <v>1</v>
      </c>
      <c r="E225">
        <v>1000</v>
      </c>
      <c r="F225">
        <v>3.2099999999999997E-2</v>
      </c>
      <c r="G225">
        <v>5.1773E-2</v>
      </c>
      <c r="H225">
        <v>1.96641462E-2</v>
      </c>
      <c r="I225">
        <v>2.3789000000000001E-2</v>
      </c>
      <c r="J225">
        <v>2.3092000000000001E-2</v>
      </c>
      <c r="K225">
        <v>-2.9299485E-2</v>
      </c>
      <c r="L225">
        <v>0.61243010909999995</v>
      </c>
      <c r="M225">
        <v>0.85799999999999998</v>
      </c>
      <c r="N225">
        <v>0.63400000000000001</v>
      </c>
    </row>
    <row r="226" spans="1:14" x14ac:dyDescent="0.25">
      <c r="A226" t="s">
        <v>142</v>
      </c>
      <c r="B226" t="s">
        <v>357</v>
      </c>
      <c r="C226" t="s">
        <v>12</v>
      </c>
      <c r="D226">
        <v>1</v>
      </c>
      <c r="E226">
        <v>1000</v>
      </c>
      <c r="F226">
        <v>106.8125</v>
      </c>
      <c r="G226">
        <v>106.674353</v>
      </c>
      <c r="H226">
        <v>-0.13810393900000001</v>
      </c>
      <c r="I226">
        <v>2.1812710000000002</v>
      </c>
      <c r="J226">
        <v>2.2432669999999999</v>
      </c>
      <c r="K226">
        <v>2.8422183199999999E-2</v>
      </c>
      <c r="L226">
        <v>-1.292957E-3</v>
      </c>
      <c r="M226">
        <v>0.95799999999999996</v>
      </c>
      <c r="N226">
        <v>1</v>
      </c>
    </row>
    <row r="227" spans="1:14" x14ac:dyDescent="0.25">
      <c r="A227" t="s">
        <v>142</v>
      </c>
      <c r="B227" t="s">
        <v>357</v>
      </c>
      <c r="C227" t="s">
        <v>13</v>
      </c>
      <c r="D227">
        <v>1</v>
      </c>
      <c r="E227">
        <v>1000</v>
      </c>
      <c r="F227">
        <v>-4.7992999999999997</v>
      </c>
      <c r="G227">
        <v>-4.9937659999999999</v>
      </c>
      <c r="H227">
        <v>-0.19448420999999999</v>
      </c>
      <c r="I227">
        <v>0.86545700000000003</v>
      </c>
      <c r="J227">
        <v>0.87064299999999994</v>
      </c>
      <c r="K227">
        <v>5.9924234999999999E-3</v>
      </c>
      <c r="L227">
        <v>4.0523606500000003E-2</v>
      </c>
      <c r="M227">
        <v>0.95199999999999996</v>
      </c>
      <c r="N227">
        <v>1</v>
      </c>
    </row>
    <row r="228" spans="1:14" x14ac:dyDescent="0.25">
      <c r="A228" t="s">
        <v>142</v>
      </c>
      <c r="B228" t="s">
        <v>357</v>
      </c>
      <c r="C228" t="s">
        <v>14</v>
      </c>
      <c r="D228">
        <v>1</v>
      </c>
      <c r="E228">
        <v>1000</v>
      </c>
      <c r="F228">
        <v>8.7021999999999995</v>
      </c>
      <c r="G228">
        <v>8.6630149999999997</v>
      </c>
      <c r="H228">
        <v>-3.9192392999999999E-2</v>
      </c>
      <c r="I228">
        <v>0.51707599999999998</v>
      </c>
      <c r="J228">
        <v>0.52870799999999996</v>
      </c>
      <c r="K228">
        <v>2.2496334900000001E-2</v>
      </c>
      <c r="L228">
        <v>-4.5037300000000001E-3</v>
      </c>
      <c r="M228">
        <v>0.95499999999999996</v>
      </c>
      <c r="N228">
        <v>1</v>
      </c>
    </row>
    <row r="229" spans="1:14" x14ac:dyDescent="0.25">
      <c r="A229" t="s">
        <v>142</v>
      </c>
      <c r="B229" t="s">
        <v>357</v>
      </c>
      <c r="C229" t="s">
        <v>15</v>
      </c>
      <c r="D229">
        <v>1</v>
      </c>
      <c r="E229">
        <v>1000</v>
      </c>
      <c r="F229">
        <v>-1.5806</v>
      </c>
      <c r="G229">
        <v>-1.6794439999999999</v>
      </c>
      <c r="H229">
        <v>-9.8818296999999999E-2</v>
      </c>
      <c r="I229">
        <v>0.55029499999999998</v>
      </c>
      <c r="J229">
        <v>0.56897699999999996</v>
      </c>
      <c r="K229">
        <v>3.3947859400000002E-2</v>
      </c>
      <c r="L229">
        <v>6.2518458999999998E-2</v>
      </c>
      <c r="M229">
        <v>0.96599999999999997</v>
      </c>
      <c r="N229">
        <v>0.84299999999999997</v>
      </c>
    </row>
    <row r="230" spans="1:14" x14ac:dyDescent="0.25">
      <c r="A230" t="s">
        <v>142</v>
      </c>
      <c r="B230" t="s">
        <v>357</v>
      </c>
      <c r="C230" t="s">
        <v>16</v>
      </c>
      <c r="D230">
        <v>1</v>
      </c>
      <c r="E230">
        <v>1000</v>
      </c>
      <c r="F230">
        <v>-7.7763999999999998</v>
      </c>
      <c r="G230">
        <v>-7.7866790000000004</v>
      </c>
      <c r="H230">
        <v>-1.0250361E-2</v>
      </c>
      <c r="I230">
        <v>0.66273099999999996</v>
      </c>
      <c r="J230">
        <v>0.66497099999999998</v>
      </c>
      <c r="K230">
        <v>3.3796163999999999E-3</v>
      </c>
      <c r="L230">
        <v>1.3181321999999999E-3</v>
      </c>
      <c r="M230">
        <v>0.95199999999999996</v>
      </c>
      <c r="N230">
        <v>1</v>
      </c>
    </row>
    <row r="231" spans="1:14" x14ac:dyDescent="0.25">
      <c r="A231" t="s">
        <v>142</v>
      </c>
      <c r="B231" t="s">
        <v>357</v>
      </c>
      <c r="C231" t="s">
        <v>17</v>
      </c>
      <c r="D231">
        <v>1</v>
      </c>
      <c r="E231">
        <v>1000</v>
      </c>
      <c r="F231">
        <v>5.8643999999999998</v>
      </c>
      <c r="G231">
        <v>5.846787</v>
      </c>
      <c r="H231">
        <v>-1.7623939000000002E-2</v>
      </c>
      <c r="I231">
        <v>3.0284999999999999E-2</v>
      </c>
      <c r="J231">
        <v>3.2730000000000002E-2</v>
      </c>
      <c r="K231">
        <v>8.0745173099999998E-2</v>
      </c>
      <c r="L231">
        <v>-3.0052360000000001E-3</v>
      </c>
      <c r="M231">
        <v>0.94</v>
      </c>
      <c r="N231">
        <v>1</v>
      </c>
    </row>
    <row r="232" spans="1:14" x14ac:dyDescent="0.25">
      <c r="A232" t="s">
        <v>142</v>
      </c>
      <c r="B232" t="s">
        <v>357</v>
      </c>
      <c r="C232" t="s">
        <v>18</v>
      </c>
      <c r="D232">
        <v>1</v>
      </c>
      <c r="E232">
        <v>1000</v>
      </c>
      <c r="F232">
        <v>3.2099999999999997E-2</v>
      </c>
      <c r="G232">
        <v>5.1799999999999999E-2</v>
      </c>
      <c r="H232">
        <v>1.96912827E-2</v>
      </c>
      <c r="I232">
        <v>1.9588999999999999E-2</v>
      </c>
      <c r="J232">
        <v>2.0077000000000001E-2</v>
      </c>
      <c r="K232">
        <v>2.4889507500000001E-2</v>
      </c>
      <c r="L232">
        <v>0.61327526170000002</v>
      </c>
      <c r="M232">
        <v>0.83599999999999997</v>
      </c>
      <c r="N232">
        <v>0.73499999999999999</v>
      </c>
    </row>
    <row r="233" spans="1:14" x14ac:dyDescent="0.25">
      <c r="A233" t="s">
        <v>142</v>
      </c>
      <c r="B233" t="s">
        <v>358</v>
      </c>
      <c r="C233" t="s">
        <v>12</v>
      </c>
      <c r="D233">
        <v>1</v>
      </c>
      <c r="E233">
        <v>1000</v>
      </c>
      <c r="F233">
        <v>106.8125</v>
      </c>
      <c r="G233">
        <v>106.675723</v>
      </c>
      <c r="H233">
        <v>-0.13673350100000001</v>
      </c>
      <c r="I233">
        <v>2.252402</v>
      </c>
      <c r="J233">
        <v>2.2750170000000001</v>
      </c>
      <c r="K233">
        <v>1.0040322799999999E-2</v>
      </c>
      <c r="L233">
        <v>-1.280127E-3</v>
      </c>
      <c r="M233">
        <v>0.95699999999999996</v>
      </c>
      <c r="N233">
        <v>1</v>
      </c>
    </row>
    <row r="234" spans="1:14" x14ac:dyDescent="0.25">
      <c r="A234" t="s">
        <v>142</v>
      </c>
      <c r="B234" t="s">
        <v>358</v>
      </c>
      <c r="C234" t="s">
        <v>13</v>
      </c>
      <c r="D234">
        <v>1</v>
      </c>
      <c r="E234">
        <v>1000</v>
      </c>
      <c r="F234">
        <v>-4.7992999999999997</v>
      </c>
      <c r="G234">
        <v>-4.9849769999999998</v>
      </c>
      <c r="H234">
        <v>-0.18569464099999999</v>
      </c>
      <c r="I234">
        <v>0.87883199999999995</v>
      </c>
      <c r="J234">
        <v>0.879938</v>
      </c>
      <c r="K234">
        <v>1.2581471999999999E-3</v>
      </c>
      <c r="L234">
        <v>3.8692172099999998E-2</v>
      </c>
      <c r="M234">
        <v>0.95</v>
      </c>
      <c r="N234">
        <v>1</v>
      </c>
    </row>
    <row r="235" spans="1:14" x14ac:dyDescent="0.25">
      <c r="A235" t="s">
        <v>142</v>
      </c>
      <c r="B235" t="s">
        <v>358</v>
      </c>
      <c r="C235" t="s">
        <v>14</v>
      </c>
      <c r="D235">
        <v>1</v>
      </c>
      <c r="E235">
        <v>1000</v>
      </c>
      <c r="F235">
        <v>8.7021999999999995</v>
      </c>
      <c r="G235">
        <v>8.6596209999999996</v>
      </c>
      <c r="H235">
        <v>-4.2586461999999999E-2</v>
      </c>
      <c r="I235">
        <v>0.50654200000000005</v>
      </c>
      <c r="J235">
        <v>0.53355399999999997</v>
      </c>
      <c r="K235">
        <v>5.3325656300000003E-2</v>
      </c>
      <c r="L235">
        <v>-4.8937540000000002E-3</v>
      </c>
      <c r="M235">
        <v>0.96599999999999997</v>
      </c>
      <c r="N235">
        <v>1</v>
      </c>
    </row>
    <row r="236" spans="1:14" x14ac:dyDescent="0.25">
      <c r="A236" t="s">
        <v>142</v>
      </c>
      <c r="B236" t="s">
        <v>358</v>
      </c>
      <c r="C236" t="s">
        <v>15</v>
      </c>
      <c r="D236">
        <v>1</v>
      </c>
      <c r="E236">
        <v>1000</v>
      </c>
      <c r="F236">
        <v>-1.5806</v>
      </c>
      <c r="G236">
        <v>-1.688213</v>
      </c>
      <c r="H236">
        <v>-0.10758738299999999</v>
      </c>
      <c r="I236">
        <v>0.56866099999999997</v>
      </c>
      <c r="J236">
        <v>0.57680399999999998</v>
      </c>
      <c r="K236">
        <v>1.4320846599999999E-2</v>
      </c>
      <c r="L236">
        <v>6.8066315700000005E-2</v>
      </c>
      <c r="M236">
        <v>0.95899999999999996</v>
      </c>
      <c r="N236">
        <v>0.82799999999999996</v>
      </c>
    </row>
    <row r="237" spans="1:14" x14ac:dyDescent="0.25">
      <c r="A237" t="s">
        <v>142</v>
      </c>
      <c r="B237" t="s">
        <v>358</v>
      </c>
      <c r="C237" t="s">
        <v>16</v>
      </c>
      <c r="D237">
        <v>1</v>
      </c>
      <c r="E237">
        <v>1000</v>
      </c>
      <c r="F237">
        <v>-7.7763999999999998</v>
      </c>
      <c r="G237">
        <v>-7.7892609999999998</v>
      </c>
      <c r="H237">
        <v>-1.2832067000000001E-2</v>
      </c>
      <c r="I237">
        <v>0.669763</v>
      </c>
      <c r="J237">
        <v>0.67096500000000003</v>
      </c>
      <c r="K237">
        <v>1.7944737E-3</v>
      </c>
      <c r="L237">
        <v>1.6501233E-3</v>
      </c>
      <c r="M237">
        <v>0.95399999999999996</v>
      </c>
      <c r="N237">
        <v>1</v>
      </c>
    </row>
    <row r="238" spans="1:14" x14ac:dyDescent="0.25">
      <c r="A238" t="s">
        <v>142</v>
      </c>
      <c r="B238" t="s">
        <v>358</v>
      </c>
      <c r="C238" t="s">
        <v>17</v>
      </c>
      <c r="D238">
        <v>1</v>
      </c>
      <c r="E238">
        <v>1000</v>
      </c>
      <c r="F238">
        <v>5.8643999999999998</v>
      </c>
      <c r="G238">
        <v>5.8453790000000003</v>
      </c>
      <c r="H238">
        <v>-1.9031853000000001E-2</v>
      </c>
      <c r="I238">
        <v>2.9069000000000001E-2</v>
      </c>
      <c r="J238">
        <v>3.3029999999999997E-2</v>
      </c>
      <c r="K238">
        <v>0.13627865829999999</v>
      </c>
      <c r="L238">
        <v>-3.245314E-3</v>
      </c>
      <c r="M238">
        <v>0.93799999999999994</v>
      </c>
      <c r="N238">
        <v>1</v>
      </c>
    </row>
    <row r="239" spans="1:14" x14ac:dyDescent="0.25">
      <c r="A239" t="s">
        <v>142</v>
      </c>
      <c r="B239" t="s">
        <v>358</v>
      </c>
      <c r="C239" t="s">
        <v>18</v>
      </c>
      <c r="D239">
        <v>1</v>
      </c>
      <c r="E239">
        <v>1000</v>
      </c>
      <c r="F239">
        <v>3.2099999999999997E-2</v>
      </c>
      <c r="G239">
        <v>5.1691000000000001E-2</v>
      </c>
      <c r="H239">
        <v>1.95824172E-2</v>
      </c>
      <c r="I239">
        <v>1.9775999999999998E-2</v>
      </c>
      <c r="J239">
        <v>2.0292000000000001E-2</v>
      </c>
      <c r="K239">
        <v>2.6074989400000002E-2</v>
      </c>
      <c r="L239">
        <v>0.60988470029999997</v>
      </c>
      <c r="M239">
        <v>0.83799999999999997</v>
      </c>
      <c r="N239">
        <v>0.72299999999999998</v>
      </c>
    </row>
    <row r="240" spans="1:14" x14ac:dyDescent="0.25">
      <c r="A240" t="s">
        <v>142</v>
      </c>
      <c r="B240" t="s">
        <v>359</v>
      </c>
      <c r="C240" t="s">
        <v>12</v>
      </c>
      <c r="D240">
        <v>1</v>
      </c>
      <c r="E240">
        <v>1000</v>
      </c>
      <c r="F240">
        <v>3.1539000000000001</v>
      </c>
      <c r="G240">
        <v>3.121445</v>
      </c>
      <c r="H240">
        <v>-3.2443307999999997E-2</v>
      </c>
      <c r="I240">
        <v>0.31054199999999998</v>
      </c>
      <c r="J240">
        <v>0.28809299999999999</v>
      </c>
      <c r="K240">
        <v>-7.2290117000000001E-2</v>
      </c>
      <c r="L240">
        <v>-1.0286765999999999E-2</v>
      </c>
      <c r="M240">
        <v>0.93300000000000005</v>
      </c>
      <c r="N240">
        <v>1</v>
      </c>
    </row>
    <row r="241" spans="1:14" x14ac:dyDescent="0.25">
      <c r="A241" t="s">
        <v>142</v>
      </c>
      <c r="B241" t="s">
        <v>359</v>
      </c>
      <c r="C241" t="s">
        <v>13</v>
      </c>
      <c r="D241">
        <v>1</v>
      </c>
      <c r="E241">
        <v>1000</v>
      </c>
      <c r="F241">
        <v>-0.434</v>
      </c>
      <c r="G241">
        <v>-0.42142200000000002</v>
      </c>
      <c r="H241">
        <v>1.25380952E-2</v>
      </c>
      <c r="I241">
        <v>0.120008</v>
      </c>
      <c r="J241">
        <v>0.11482000000000001</v>
      </c>
      <c r="K241">
        <v>-4.3231483000000001E-2</v>
      </c>
      <c r="L241">
        <v>-2.8892280999999999E-2</v>
      </c>
      <c r="M241">
        <v>0.94199999999999995</v>
      </c>
      <c r="N241">
        <v>0.95</v>
      </c>
    </row>
    <row r="242" spans="1:14" x14ac:dyDescent="0.25">
      <c r="A242" t="s">
        <v>142</v>
      </c>
      <c r="B242" t="s">
        <v>359</v>
      </c>
      <c r="C242" t="s">
        <v>14</v>
      </c>
      <c r="D242">
        <v>1</v>
      </c>
      <c r="E242">
        <v>1000</v>
      </c>
      <c r="F242">
        <v>-7.6E-3</v>
      </c>
      <c r="G242">
        <v>-1.2028E-2</v>
      </c>
      <c r="H242">
        <v>-4.4103120000000004E-3</v>
      </c>
      <c r="I242">
        <v>6.5965999999999997E-2</v>
      </c>
      <c r="J242">
        <v>6.7446000000000006E-2</v>
      </c>
      <c r="K242">
        <v>2.2431162300000002E-2</v>
      </c>
      <c r="L242">
        <v>0.57893219389999995</v>
      </c>
      <c r="M242">
        <v>0.96</v>
      </c>
      <c r="N242">
        <v>4.5999999999999999E-2</v>
      </c>
    </row>
    <row r="243" spans="1:14" x14ac:dyDescent="0.25">
      <c r="A243" t="s">
        <v>142</v>
      </c>
      <c r="B243" t="s">
        <v>359</v>
      </c>
      <c r="C243" t="s">
        <v>15</v>
      </c>
      <c r="D243">
        <v>1</v>
      </c>
      <c r="E243">
        <v>1000</v>
      </c>
      <c r="F243">
        <v>-0.4551</v>
      </c>
      <c r="G243">
        <v>-0.44963199999999998</v>
      </c>
      <c r="H243">
        <v>5.4999208000000004E-3</v>
      </c>
      <c r="I243">
        <v>7.6446E-2</v>
      </c>
      <c r="J243">
        <v>7.1529999999999996E-2</v>
      </c>
      <c r="K243">
        <v>-6.4303577000000001E-2</v>
      </c>
      <c r="L243">
        <v>-1.2084235E-2</v>
      </c>
      <c r="M243">
        <v>0.93200000000000005</v>
      </c>
      <c r="N243">
        <v>1</v>
      </c>
    </row>
    <row r="244" spans="1:14" x14ac:dyDescent="0.25">
      <c r="A244" t="s">
        <v>142</v>
      </c>
      <c r="B244" t="s">
        <v>359</v>
      </c>
      <c r="C244" t="s">
        <v>16</v>
      </c>
      <c r="D244">
        <v>1</v>
      </c>
      <c r="E244">
        <v>1000</v>
      </c>
      <c r="F244">
        <v>-8.0399999999999999E-2</v>
      </c>
      <c r="G244">
        <v>-8.7859999999999994E-2</v>
      </c>
      <c r="H244">
        <v>-7.4539589999999996E-3</v>
      </c>
      <c r="I244">
        <v>8.9536000000000004E-2</v>
      </c>
      <c r="J244">
        <v>8.9052999999999993E-2</v>
      </c>
      <c r="K244">
        <v>-5.3877639999999997E-3</v>
      </c>
      <c r="L244">
        <v>9.2703398199999995E-2</v>
      </c>
      <c r="M244">
        <v>0.95399999999999996</v>
      </c>
      <c r="N244">
        <v>0.17299999999999999</v>
      </c>
    </row>
    <row r="245" spans="1:14" x14ac:dyDescent="0.25">
      <c r="A245" t="s">
        <v>142</v>
      </c>
      <c r="B245" t="s">
        <v>359</v>
      </c>
      <c r="C245" t="s">
        <v>17</v>
      </c>
      <c r="D245">
        <v>1</v>
      </c>
      <c r="E245">
        <v>1000</v>
      </c>
      <c r="F245">
        <v>-0.1255</v>
      </c>
      <c r="G245">
        <v>-0.12512799999999999</v>
      </c>
      <c r="H245">
        <v>3.370987E-4</v>
      </c>
      <c r="I245">
        <v>6.8329999999999997E-3</v>
      </c>
      <c r="J245">
        <v>6.9639999999999997E-3</v>
      </c>
      <c r="K245">
        <v>1.90904465E-2</v>
      </c>
      <c r="L245">
        <v>-2.6868E-3</v>
      </c>
      <c r="M245">
        <v>0.95299999999999996</v>
      </c>
      <c r="N245">
        <v>1</v>
      </c>
    </row>
    <row r="246" spans="1:14" x14ac:dyDescent="0.25">
      <c r="A246" t="s">
        <v>142</v>
      </c>
      <c r="B246" t="s">
        <v>359</v>
      </c>
      <c r="C246" t="s">
        <v>18</v>
      </c>
      <c r="D246">
        <v>1</v>
      </c>
      <c r="E246">
        <v>1000</v>
      </c>
      <c r="F246">
        <v>-1.1999999999999999E-3</v>
      </c>
      <c r="G246">
        <v>-1.407E-3</v>
      </c>
      <c r="H246">
        <v>-2.1504900000000001E-4</v>
      </c>
      <c r="I246">
        <v>3.5049999999999999E-3</v>
      </c>
      <c r="J246">
        <v>3.4290000000000002E-3</v>
      </c>
      <c r="K246">
        <v>-2.1809177999999999E-2</v>
      </c>
      <c r="L246">
        <v>0.18035455419999999</v>
      </c>
      <c r="M246">
        <v>0.94</v>
      </c>
      <c r="N246">
        <v>7.6999999999999999E-2</v>
      </c>
    </row>
    <row r="247" spans="1:14" x14ac:dyDescent="0.25">
      <c r="A247" t="s">
        <v>142</v>
      </c>
      <c r="B247" t="s">
        <v>360</v>
      </c>
      <c r="C247" t="s">
        <v>12</v>
      </c>
      <c r="D247">
        <v>1</v>
      </c>
      <c r="E247">
        <v>1000</v>
      </c>
      <c r="F247">
        <v>3.1539000000000001</v>
      </c>
      <c r="G247">
        <v>3.004956</v>
      </c>
      <c r="H247">
        <v>-0.14893260899999999</v>
      </c>
      <c r="I247">
        <v>0.30479200000000001</v>
      </c>
      <c r="J247">
        <v>0.28288400000000002</v>
      </c>
      <c r="K247">
        <v>-7.1878026999999997E-2</v>
      </c>
      <c r="L247">
        <v>-4.7221906000000001E-2</v>
      </c>
      <c r="M247">
        <v>0.89200000000000002</v>
      </c>
      <c r="N247">
        <v>1</v>
      </c>
    </row>
    <row r="248" spans="1:14" x14ac:dyDescent="0.25">
      <c r="A248" t="s">
        <v>142</v>
      </c>
      <c r="B248" t="s">
        <v>360</v>
      </c>
      <c r="C248" t="s">
        <v>13</v>
      </c>
      <c r="D248">
        <v>1</v>
      </c>
      <c r="E248">
        <v>1000</v>
      </c>
      <c r="F248">
        <v>-0.434</v>
      </c>
      <c r="G248">
        <v>-0.35393799999999997</v>
      </c>
      <c r="H248">
        <v>8.0022194099999999E-2</v>
      </c>
      <c r="I248">
        <v>0.120638</v>
      </c>
      <c r="J248">
        <v>0.113792</v>
      </c>
      <c r="K248">
        <v>-5.6747756000000003E-2</v>
      </c>
      <c r="L248">
        <v>-0.184399918</v>
      </c>
      <c r="M248">
        <v>0.86799999999999999</v>
      </c>
      <c r="N248">
        <v>0.85099999999999998</v>
      </c>
    </row>
    <row r="249" spans="1:14" x14ac:dyDescent="0.25">
      <c r="A249" t="s">
        <v>142</v>
      </c>
      <c r="B249" t="s">
        <v>360</v>
      </c>
      <c r="C249" t="s">
        <v>14</v>
      </c>
      <c r="D249">
        <v>1</v>
      </c>
      <c r="E249">
        <v>1000</v>
      </c>
      <c r="F249">
        <v>-7.6E-3</v>
      </c>
      <c r="G249">
        <v>-1.8936999999999999E-2</v>
      </c>
      <c r="H249">
        <v>-1.1319464E-2</v>
      </c>
      <c r="I249">
        <v>6.3991999999999993E-2</v>
      </c>
      <c r="J249">
        <v>6.6081000000000001E-2</v>
      </c>
      <c r="K249">
        <v>3.2648871699999998E-2</v>
      </c>
      <c r="L249">
        <v>1.4858817955000001</v>
      </c>
      <c r="M249">
        <v>0.95299999999999996</v>
      </c>
      <c r="N249">
        <v>5.5E-2</v>
      </c>
    </row>
    <row r="250" spans="1:14" x14ac:dyDescent="0.25">
      <c r="A250" t="s">
        <v>142</v>
      </c>
      <c r="B250" t="s">
        <v>360</v>
      </c>
      <c r="C250" t="s">
        <v>15</v>
      </c>
      <c r="D250">
        <v>1</v>
      </c>
      <c r="E250">
        <v>1000</v>
      </c>
      <c r="F250">
        <v>-0.4551</v>
      </c>
      <c r="G250">
        <v>-0.452295</v>
      </c>
      <c r="H250">
        <v>2.8366119E-3</v>
      </c>
      <c r="I250">
        <v>7.5791999999999998E-2</v>
      </c>
      <c r="J250">
        <v>7.0522000000000001E-2</v>
      </c>
      <c r="K250">
        <v>-6.9530036000000003E-2</v>
      </c>
      <c r="L250">
        <v>-6.2325050000000002E-3</v>
      </c>
      <c r="M250">
        <v>0.93300000000000005</v>
      </c>
      <c r="N250">
        <v>1</v>
      </c>
    </row>
    <row r="251" spans="1:14" x14ac:dyDescent="0.25">
      <c r="A251" t="s">
        <v>142</v>
      </c>
      <c r="B251" t="s">
        <v>360</v>
      </c>
      <c r="C251" t="s">
        <v>16</v>
      </c>
      <c r="D251">
        <v>1</v>
      </c>
      <c r="E251">
        <v>1000</v>
      </c>
      <c r="F251">
        <v>-8.0399999999999999E-2</v>
      </c>
      <c r="G251">
        <v>-0.111453</v>
      </c>
      <c r="H251">
        <v>-3.1046692000000001E-2</v>
      </c>
      <c r="I251">
        <v>8.9358000000000007E-2</v>
      </c>
      <c r="J251">
        <v>8.8383000000000003E-2</v>
      </c>
      <c r="K251">
        <v>-1.0916594E-2</v>
      </c>
      <c r="L251">
        <v>0.38612150210000001</v>
      </c>
      <c r="M251">
        <v>0.93600000000000005</v>
      </c>
      <c r="N251">
        <v>0.25</v>
      </c>
    </row>
    <row r="252" spans="1:14" x14ac:dyDescent="0.25">
      <c r="A252" t="s">
        <v>142</v>
      </c>
      <c r="B252" t="s">
        <v>360</v>
      </c>
      <c r="C252" t="s">
        <v>17</v>
      </c>
      <c r="D252">
        <v>1</v>
      </c>
      <c r="E252">
        <v>1000</v>
      </c>
      <c r="F252">
        <v>-0.1255</v>
      </c>
      <c r="G252">
        <v>-0.125635</v>
      </c>
      <c r="H252">
        <v>-1.7006899999999999E-4</v>
      </c>
      <c r="I252">
        <v>6.8060000000000004E-3</v>
      </c>
      <c r="J252">
        <v>6.8389999999999996E-3</v>
      </c>
      <c r="K252">
        <v>4.7403339000000001E-3</v>
      </c>
      <c r="L252">
        <v>1.3555112000000001E-3</v>
      </c>
      <c r="M252">
        <v>0.94799999999999995</v>
      </c>
      <c r="N252">
        <v>1</v>
      </c>
    </row>
    <row r="253" spans="1:14" x14ac:dyDescent="0.25">
      <c r="A253" t="s">
        <v>142</v>
      </c>
      <c r="B253" t="s">
        <v>360</v>
      </c>
      <c r="C253" t="s">
        <v>18</v>
      </c>
      <c r="D253">
        <v>1</v>
      </c>
      <c r="E253">
        <v>1000</v>
      </c>
      <c r="F253">
        <v>-1.1999999999999999E-3</v>
      </c>
      <c r="G253">
        <v>-1.075E-3</v>
      </c>
      <c r="H253">
        <v>1.172652E-4</v>
      </c>
      <c r="I253">
        <v>3.4320000000000002E-3</v>
      </c>
      <c r="J253">
        <v>3.3349999999999999E-3</v>
      </c>
      <c r="K253">
        <v>-2.8141030000000001E-2</v>
      </c>
      <c r="L253">
        <v>-9.8346703999999993E-2</v>
      </c>
      <c r="M253">
        <v>0.94299999999999995</v>
      </c>
      <c r="N253">
        <v>7.3999999999999996E-2</v>
      </c>
    </row>
    <row r="254" spans="1:14" x14ac:dyDescent="0.25">
      <c r="A254" t="s">
        <v>142</v>
      </c>
      <c r="B254" t="s">
        <v>361</v>
      </c>
      <c r="C254" t="s">
        <v>12</v>
      </c>
      <c r="D254">
        <v>1</v>
      </c>
      <c r="E254">
        <v>1000</v>
      </c>
      <c r="F254">
        <v>3.1539000000000001</v>
      </c>
      <c r="G254">
        <v>3.1699609999999998</v>
      </c>
      <c r="H254">
        <v>1.6073073199999999E-2</v>
      </c>
      <c r="I254">
        <v>0.261237</v>
      </c>
      <c r="J254">
        <v>0.25204900000000002</v>
      </c>
      <c r="K254">
        <v>-3.5171143000000002E-2</v>
      </c>
      <c r="L254">
        <v>5.0962725000000004E-3</v>
      </c>
      <c r="M254">
        <v>0.94499999999999995</v>
      </c>
      <c r="N254">
        <v>1</v>
      </c>
    </row>
    <row r="255" spans="1:14" x14ac:dyDescent="0.25">
      <c r="A255" t="s">
        <v>142</v>
      </c>
      <c r="B255" t="s">
        <v>361</v>
      </c>
      <c r="C255" t="s">
        <v>13</v>
      </c>
      <c r="D255">
        <v>1</v>
      </c>
      <c r="E255">
        <v>1000</v>
      </c>
      <c r="F255">
        <v>-0.434</v>
      </c>
      <c r="G255">
        <v>-0.44195400000000001</v>
      </c>
      <c r="H255">
        <v>-7.9939610000000008E-3</v>
      </c>
      <c r="I255">
        <v>0.10108499999999999</v>
      </c>
      <c r="J255">
        <v>9.5857999999999999E-2</v>
      </c>
      <c r="K255">
        <v>-5.1709566999999998E-2</v>
      </c>
      <c r="L255">
        <v>1.84209608E-2</v>
      </c>
      <c r="M255">
        <v>0.93700000000000006</v>
      </c>
      <c r="N255">
        <v>0.99199999999999999</v>
      </c>
    </row>
    <row r="256" spans="1:14" x14ac:dyDescent="0.25">
      <c r="A256" t="s">
        <v>142</v>
      </c>
      <c r="B256" t="s">
        <v>361</v>
      </c>
      <c r="C256" t="s">
        <v>14</v>
      </c>
      <c r="D256">
        <v>1</v>
      </c>
      <c r="E256">
        <v>1000</v>
      </c>
      <c r="F256">
        <v>-7.6E-3</v>
      </c>
      <c r="G256">
        <v>-7.8499999999999993E-3</v>
      </c>
      <c r="H256">
        <v>-2.31537E-4</v>
      </c>
      <c r="I256">
        <v>5.8608E-2</v>
      </c>
      <c r="J256">
        <v>5.8319000000000003E-2</v>
      </c>
      <c r="K256">
        <v>-4.9318410000000002E-3</v>
      </c>
      <c r="L256">
        <v>3.0393321300000001E-2</v>
      </c>
      <c r="M256">
        <v>0.95199999999999996</v>
      </c>
      <c r="N256">
        <v>4.7E-2</v>
      </c>
    </row>
    <row r="257" spans="1:14" x14ac:dyDescent="0.25">
      <c r="A257" t="s">
        <v>142</v>
      </c>
      <c r="B257" t="s">
        <v>361</v>
      </c>
      <c r="C257" t="s">
        <v>15</v>
      </c>
      <c r="D257">
        <v>1</v>
      </c>
      <c r="E257">
        <v>1000</v>
      </c>
      <c r="F257">
        <v>-0.4551</v>
      </c>
      <c r="G257">
        <v>-0.45411899999999999</v>
      </c>
      <c r="H257">
        <v>1.0130975999999999E-3</v>
      </c>
      <c r="I257">
        <v>6.4685000000000006E-2</v>
      </c>
      <c r="J257">
        <v>6.2021E-2</v>
      </c>
      <c r="K257">
        <v>-4.1177094999999997E-2</v>
      </c>
      <c r="L257">
        <v>-2.2259430000000002E-3</v>
      </c>
      <c r="M257">
        <v>0.94599999999999995</v>
      </c>
      <c r="N257">
        <v>1</v>
      </c>
    </row>
    <row r="258" spans="1:14" x14ac:dyDescent="0.25">
      <c r="A258" t="s">
        <v>142</v>
      </c>
      <c r="B258" t="s">
        <v>361</v>
      </c>
      <c r="C258" t="s">
        <v>16</v>
      </c>
      <c r="D258">
        <v>1</v>
      </c>
      <c r="E258">
        <v>1000</v>
      </c>
      <c r="F258">
        <v>-8.0399999999999999E-2</v>
      </c>
      <c r="G258">
        <v>-8.2405999999999993E-2</v>
      </c>
      <c r="H258">
        <v>-1.999537E-3</v>
      </c>
      <c r="I258">
        <v>7.4315999999999993E-2</v>
      </c>
      <c r="J258">
        <v>7.3714000000000002E-2</v>
      </c>
      <c r="K258">
        <v>-8.1013820000000007E-3</v>
      </c>
      <c r="L258">
        <v>2.4867837899999998E-2</v>
      </c>
      <c r="M258">
        <v>0.94699999999999995</v>
      </c>
      <c r="N258">
        <v>0.214</v>
      </c>
    </row>
    <row r="259" spans="1:14" x14ac:dyDescent="0.25">
      <c r="A259" t="s">
        <v>142</v>
      </c>
      <c r="B259" t="s">
        <v>361</v>
      </c>
      <c r="C259" t="s">
        <v>17</v>
      </c>
      <c r="D259">
        <v>1</v>
      </c>
      <c r="E259">
        <v>1000</v>
      </c>
      <c r="F259">
        <v>-0.1255</v>
      </c>
      <c r="G259">
        <v>-0.125529</v>
      </c>
      <c r="H259">
        <v>-6.4165999999999995E-5</v>
      </c>
      <c r="I259">
        <v>5.8370000000000002E-3</v>
      </c>
      <c r="J259">
        <v>5.7920000000000003E-3</v>
      </c>
      <c r="K259">
        <v>-7.8554479999999993E-3</v>
      </c>
      <c r="L259">
        <v>5.1142379999999995E-4</v>
      </c>
      <c r="M259">
        <v>0.94899999999999995</v>
      </c>
      <c r="N259">
        <v>1</v>
      </c>
    </row>
    <row r="260" spans="1:14" x14ac:dyDescent="0.25">
      <c r="A260" t="s">
        <v>142</v>
      </c>
      <c r="B260" t="s">
        <v>361</v>
      </c>
      <c r="C260" t="s">
        <v>18</v>
      </c>
      <c r="D260">
        <v>1</v>
      </c>
      <c r="E260">
        <v>1000</v>
      </c>
      <c r="F260">
        <v>-1.1999999999999999E-3</v>
      </c>
      <c r="G260">
        <v>-1.392E-3</v>
      </c>
      <c r="H260">
        <v>-1.9961600000000001E-4</v>
      </c>
      <c r="I260">
        <v>2.9979999999999998E-3</v>
      </c>
      <c r="J260">
        <v>2.879E-3</v>
      </c>
      <c r="K260">
        <v>-3.9630738999999998E-2</v>
      </c>
      <c r="L260">
        <v>0.1674120965</v>
      </c>
      <c r="M260">
        <v>0.94599999999999995</v>
      </c>
      <c r="N260">
        <v>8.4000000000000005E-2</v>
      </c>
    </row>
    <row r="261" spans="1:14" x14ac:dyDescent="0.25">
      <c r="A261" t="s">
        <v>142</v>
      </c>
      <c r="B261" t="s">
        <v>362</v>
      </c>
      <c r="C261" t="s">
        <v>12</v>
      </c>
      <c r="D261">
        <v>1</v>
      </c>
      <c r="E261">
        <v>1000</v>
      </c>
      <c r="F261">
        <v>3.1539000000000001</v>
      </c>
      <c r="G261">
        <v>3.1696399999999998</v>
      </c>
      <c r="H261">
        <v>1.57518338E-2</v>
      </c>
      <c r="I261">
        <v>0.26436500000000002</v>
      </c>
      <c r="J261">
        <v>0.25468200000000002</v>
      </c>
      <c r="K261">
        <v>-3.663056E-2</v>
      </c>
      <c r="L261">
        <v>4.9944174000000003E-3</v>
      </c>
      <c r="M261">
        <v>0.94299999999999995</v>
      </c>
      <c r="N261">
        <v>1</v>
      </c>
    </row>
    <row r="262" spans="1:14" x14ac:dyDescent="0.25">
      <c r="A262" t="s">
        <v>142</v>
      </c>
      <c r="B262" t="s">
        <v>362</v>
      </c>
      <c r="C262" t="s">
        <v>13</v>
      </c>
      <c r="D262">
        <v>1</v>
      </c>
      <c r="E262">
        <v>1000</v>
      </c>
      <c r="F262">
        <v>-0.434</v>
      </c>
      <c r="G262">
        <v>-0.440552</v>
      </c>
      <c r="H262">
        <v>-6.5915679999999999E-3</v>
      </c>
      <c r="I262">
        <v>0.101956</v>
      </c>
      <c r="J262">
        <v>9.6749000000000002E-2</v>
      </c>
      <c r="K262">
        <v>-5.1075239000000001E-2</v>
      </c>
      <c r="L262">
        <v>1.51893436E-2</v>
      </c>
      <c r="M262">
        <v>0.93899999999999995</v>
      </c>
      <c r="N262">
        <v>0.98899999999999999</v>
      </c>
    </row>
    <row r="263" spans="1:14" x14ac:dyDescent="0.25">
      <c r="A263" t="s">
        <v>142</v>
      </c>
      <c r="B263" t="s">
        <v>362</v>
      </c>
      <c r="C263" t="s">
        <v>14</v>
      </c>
      <c r="D263">
        <v>1</v>
      </c>
      <c r="E263">
        <v>1000</v>
      </c>
      <c r="F263">
        <v>-7.6E-3</v>
      </c>
      <c r="G263">
        <v>-7.7499999999999999E-3</v>
      </c>
      <c r="H263">
        <v>-1.32387E-4</v>
      </c>
      <c r="I263">
        <v>5.9494999999999999E-2</v>
      </c>
      <c r="J263">
        <v>5.8878E-2</v>
      </c>
      <c r="K263">
        <v>-1.0374009E-2</v>
      </c>
      <c r="L263">
        <v>1.7378160399999999E-2</v>
      </c>
      <c r="M263">
        <v>0.94899999999999995</v>
      </c>
      <c r="N263">
        <v>5.2999999999999999E-2</v>
      </c>
    </row>
    <row r="264" spans="1:14" x14ac:dyDescent="0.25">
      <c r="A264" t="s">
        <v>142</v>
      </c>
      <c r="B264" t="s">
        <v>362</v>
      </c>
      <c r="C264" t="s">
        <v>15</v>
      </c>
      <c r="D264">
        <v>1</v>
      </c>
      <c r="E264">
        <v>1000</v>
      </c>
      <c r="F264">
        <v>-0.4551</v>
      </c>
      <c r="G264">
        <v>-0.45505400000000001</v>
      </c>
      <c r="H264">
        <v>7.7552000000000006E-5</v>
      </c>
      <c r="I264">
        <v>6.5408999999999995E-2</v>
      </c>
      <c r="J264">
        <v>6.2646999999999994E-2</v>
      </c>
      <c r="K264">
        <v>-4.2225080999999998E-2</v>
      </c>
      <c r="L264">
        <v>-1.70395E-4</v>
      </c>
      <c r="M264">
        <v>0.94199999999999995</v>
      </c>
      <c r="N264">
        <v>1</v>
      </c>
    </row>
    <row r="265" spans="1:14" x14ac:dyDescent="0.25">
      <c r="A265" t="s">
        <v>142</v>
      </c>
      <c r="B265" t="s">
        <v>362</v>
      </c>
      <c r="C265" t="s">
        <v>16</v>
      </c>
      <c r="D265">
        <v>1</v>
      </c>
      <c r="E265">
        <v>1000</v>
      </c>
      <c r="F265">
        <v>-8.0399999999999999E-2</v>
      </c>
      <c r="G265">
        <v>-8.2755999999999996E-2</v>
      </c>
      <c r="H265">
        <v>-2.3497660000000001E-3</v>
      </c>
      <c r="I265">
        <v>7.4616000000000002E-2</v>
      </c>
      <c r="J265">
        <v>7.4385000000000007E-2</v>
      </c>
      <c r="K265">
        <v>-3.1026690000000002E-3</v>
      </c>
      <c r="L265">
        <v>2.9223576000000001E-2</v>
      </c>
      <c r="M265">
        <v>0.95099999999999996</v>
      </c>
      <c r="N265">
        <v>0.20799999999999999</v>
      </c>
    </row>
    <row r="266" spans="1:14" x14ac:dyDescent="0.25">
      <c r="A266" t="s">
        <v>142</v>
      </c>
      <c r="B266" t="s">
        <v>362</v>
      </c>
      <c r="C266" t="s">
        <v>17</v>
      </c>
      <c r="D266">
        <v>1</v>
      </c>
      <c r="E266">
        <v>1000</v>
      </c>
      <c r="F266">
        <v>-0.1255</v>
      </c>
      <c r="G266">
        <v>-0.12554199999999999</v>
      </c>
      <c r="H266">
        <v>-7.7343999999999997E-5</v>
      </c>
      <c r="I266">
        <v>5.9569999999999996E-3</v>
      </c>
      <c r="J266">
        <v>5.8570000000000002E-3</v>
      </c>
      <c r="K266">
        <v>-1.6735686999999999E-2</v>
      </c>
      <c r="L266">
        <v>6.1646400000000005E-4</v>
      </c>
      <c r="M266">
        <v>0.94399999999999995</v>
      </c>
      <c r="N266">
        <v>1</v>
      </c>
    </row>
    <row r="267" spans="1:14" x14ac:dyDescent="0.25">
      <c r="A267" t="s">
        <v>142</v>
      </c>
      <c r="B267" t="s">
        <v>362</v>
      </c>
      <c r="C267" t="s">
        <v>18</v>
      </c>
      <c r="D267">
        <v>1</v>
      </c>
      <c r="E267">
        <v>1000</v>
      </c>
      <c r="F267">
        <v>-1.1999999999999999E-3</v>
      </c>
      <c r="G267">
        <v>-1.379E-3</v>
      </c>
      <c r="H267">
        <v>-1.8628399999999999E-4</v>
      </c>
      <c r="I267">
        <v>3.0500000000000002E-3</v>
      </c>
      <c r="J267">
        <v>2.908E-3</v>
      </c>
      <c r="K267">
        <v>-4.6618840000000002E-2</v>
      </c>
      <c r="L267">
        <v>0.1562306165</v>
      </c>
      <c r="M267">
        <v>0.94</v>
      </c>
      <c r="N267">
        <v>8.6999999999999994E-2</v>
      </c>
    </row>
    <row r="268" spans="1:14" x14ac:dyDescent="0.25">
      <c r="A268" t="s">
        <v>142</v>
      </c>
      <c r="B268" t="s">
        <v>631</v>
      </c>
      <c r="C268" t="s">
        <v>12</v>
      </c>
      <c r="D268">
        <v>1</v>
      </c>
      <c r="E268">
        <v>960</v>
      </c>
      <c r="F268">
        <v>106.8125</v>
      </c>
      <c r="G268">
        <v>106.614604</v>
      </c>
      <c r="H268">
        <v>-0.19785280699999999</v>
      </c>
      <c r="I268">
        <v>2.2580260000000001</v>
      </c>
      <c r="J268">
        <v>2.2450190000000001</v>
      </c>
      <c r="K268">
        <v>-5.7604279999999997E-3</v>
      </c>
      <c r="L268">
        <v>-1.852338E-3</v>
      </c>
      <c r="M268">
        <v>0.95833333330000003</v>
      </c>
      <c r="N268">
        <v>1</v>
      </c>
    </row>
    <row r="269" spans="1:14" x14ac:dyDescent="0.25">
      <c r="A269" t="s">
        <v>142</v>
      </c>
      <c r="B269" t="s">
        <v>631</v>
      </c>
      <c r="C269" t="s">
        <v>13</v>
      </c>
      <c r="D269">
        <v>1</v>
      </c>
      <c r="E269">
        <v>960</v>
      </c>
      <c r="F269">
        <v>-4.7992999999999997</v>
      </c>
      <c r="G269">
        <v>-5.0392419999999998</v>
      </c>
      <c r="H269">
        <v>-0.239960596</v>
      </c>
      <c r="I269">
        <v>0.87002400000000002</v>
      </c>
      <c r="J269">
        <v>0.868421</v>
      </c>
      <c r="K269">
        <v>-1.842261E-3</v>
      </c>
      <c r="L269">
        <v>4.9999271099999999E-2</v>
      </c>
      <c r="M269">
        <v>0.93958333329999999</v>
      </c>
      <c r="N269">
        <v>0.99895833329999995</v>
      </c>
    </row>
    <row r="270" spans="1:14" x14ac:dyDescent="0.25">
      <c r="A270" t="s">
        <v>142</v>
      </c>
      <c r="B270" t="s">
        <v>631</v>
      </c>
      <c r="C270" t="s">
        <v>14</v>
      </c>
      <c r="D270">
        <v>1</v>
      </c>
      <c r="E270">
        <v>960</v>
      </c>
      <c r="F270">
        <v>8.7021999999999995</v>
      </c>
      <c r="G270">
        <v>8.6678139999999999</v>
      </c>
      <c r="H270">
        <v>-3.4393524000000002E-2</v>
      </c>
      <c r="I270">
        <v>0.51243700000000003</v>
      </c>
      <c r="J270">
        <v>0.52835299999999996</v>
      </c>
      <c r="K270">
        <v>3.1059199900000001E-2</v>
      </c>
      <c r="L270">
        <v>-3.9522760000000002E-3</v>
      </c>
      <c r="M270">
        <v>0.95208333329999995</v>
      </c>
      <c r="N270">
        <v>1</v>
      </c>
    </row>
    <row r="271" spans="1:14" x14ac:dyDescent="0.25">
      <c r="A271" t="s">
        <v>142</v>
      </c>
      <c r="B271" t="s">
        <v>631</v>
      </c>
      <c r="C271" t="s">
        <v>15</v>
      </c>
      <c r="D271">
        <v>1</v>
      </c>
      <c r="E271">
        <v>960</v>
      </c>
      <c r="F271">
        <v>-1.5806</v>
      </c>
      <c r="G271">
        <v>-1.6637439999999999</v>
      </c>
      <c r="H271">
        <v>-8.3117832000000003E-2</v>
      </c>
      <c r="I271">
        <v>0.56795099999999998</v>
      </c>
      <c r="J271">
        <v>0.56925300000000001</v>
      </c>
      <c r="K271">
        <v>2.2925815999999999E-3</v>
      </c>
      <c r="L271">
        <v>5.2585391299999999E-2</v>
      </c>
      <c r="M271">
        <v>0.94687500000000002</v>
      </c>
      <c r="N271">
        <v>0.83125000000000004</v>
      </c>
    </row>
    <row r="272" spans="1:14" x14ac:dyDescent="0.25">
      <c r="A272" t="s">
        <v>142</v>
      </c>
      <c r="B272" t="s">
        <v>631</v>
      </c>
      <c r="C272" t="s">
        <v>16</v>
      </c>
      <c r="D272">
        <v>1</v>
      </c>
      <c r="E272">
        <v>960</v>
      </c>
      <c r="F272">
        <v>-7.7763999999999998</v>
      </c>
      <c r="G272">
        <v>-7.8513630000000001</v>
      </c>
      <c r="H272">
        <v>-7.4933828999999993E-2</v>
      </c>
      <c r="I272">
        <v>0.64424999999999999</v>
      </c>
      <c r="J272">
        <v>0.66308999999999996</v>
      </c>
      <c r="K272">
        <v>2.9242080600000001E-2</v>
      </c>
      <c r="L272">
        <v>9.6360204000000005E-3</v>
      </c>
      <c r="M272">
        <v>0.96041666670000003</v>
      </c>
      <c r="N272">
        <v>1</v>
      </c>
    </row>
    <row r="273" spans="1:14" x14ac:dyDescent="0.25">
      <c r="A273" t="s">
        <v>142</v>
      </c>
      <c r="B273" t="s">
        <v>631</v>
      </c>
      <c r="C273" t="s">
        <v>17</v>
      </c>
      <c r="D273">
        <v>1</v>
      </c>
      <c r="E273">
        <v>960</v>
      </c>
      <c r="F273">
        <v>5.8643999999999998</v>
      </c>
      <c r="G273">
        <v>5.845574</v>
      </c>
      <c r="H273">
        <v>-1.8836357000000001E-2</v>
      </c>
      <c r="I273">
        <v>3.1784E-2</v>
      </c>
      <c r="J273">
        <v>3.2853E-2</v>
      </c>
      <c r="K273">
        <v>3.36498005E-2</v>
      </c>
      <c r="L273">
        <v>-3.2119779999999999E-3</v>
      </c>
      <c r="M273">
        <v>0.91666666669999997</v>
      </c>
      <c r="N273">
        <v>1</v>
      </c>
    </row>
    <row r="274" spans="1:14" x14ac:dyDescent="0.25">
      <c r="A274" t="s">
        <v>142</v>
      </c>
      <c r="B274" t="s">
        <v>631</v>
      </c>
      <c r="C274" t="s">
        <v>18</v>
      </c>
      <c r="D274">
        <v>1</v>
      </c>
      <c r="E274">
        <v>960</v>
      </c>
      <c r="F274">
        <v>3.2099999999999997E-2</v>
      </c>
      <c r="G274">
        <v>5.2117999999999998E-2</v>
      </c>
      <c r="H274">
        <v>2.0010037800000002E-2</v>
      </c>
      <c r="I274">
        <v>2.0390999999999999E-2</v>
      </c>
      <c r="J274">
        <v>2.0079E-2</v>
      </c>
      <c r="K274">
        <v>-1.5321477E-2</v>
      </c>
      <c r="L274">
        <v>0.62320273169999996</v>
      </c>
      <c r="M274">
        <v>0.82499999999999996</v>
      </c>
      <c r="N274">
        <v>0.72916666669999997</v>
      </c>
    </row>
    <row r="275" spans="1:14" x14ac:dyDescent="0.25">
      <c r="A275" t="s">
        <v>142</v>
      </c>
      <c r="B275" t="s">
        <v>633</v>
      </c>
      <c r="C275" t="s">
        <v>12</v>
      </c>
      <c r="D275">
        <v>1</v>
      </c>
      <c r="E275">
        <v>890</v>
      </c>
      <c r="F275">
        <v>3.1539000000000001</v>
      </c>
      <c r="G275">
        <v>3.1715659999999999</v>
      </c>
      <c r="H275">
        <v>1.7677576399999999E-2</v>
      </c>
      <c r="I275">
        <v>0.26333600000000001</v>
      </c>
      <c r="J275">
        <v>0.25223699999999999</v>
      </c>
      <c r="K275">
        <v>-4.2147666E-2</v>
      </c>
      <c r="L275">
        <v>5.6050105999999999E-3</v>
      </c>
      <c r="M275">
        <v>0.94269662919999997</v>
      </c>
      <c r="N275">
        <v>1</v>
      </c>
    </row>
    <row r="276" spans="1:14" x14ac:dyDescent="0.25">
      <c r="A276" t="s">
        <v>142</v>
      </c>
      <c r="B276" t="s">
        <v>633</v>
      </c>
      <c r="C276" t="s">
        <v>13</v>
      </c>
      <c r="D276">
        <v>1</v>
      </c>
      <c r="E276">
        <v>890</v>
      </c>
      <c r="F276">
        <v>-0.434</v>
      </c>
      <c r="G276">
        <v>-0.43985999999999997</v>
      </c>
      <c r="H276">
        <v>-5.8996600000000001E-3</v>
      </c>
      <c r="I276">
        <v>0.10154299999999999</v>
      </c>
      <c r="J276">
        <v>9.5985000000000001E-2</v>
      </c>
      <c r="K276">
        <v>-5.4742093999999998E-2</v>
      </c>
      <c r="L276">
        <v>1.3594937600000001E-2</v>
      </c>
      <c r="M276">
        <v>0.93483146070000001</v>
      </c>
      <c r="N276">
        <v>0.99101123599999996</v>
      </c>
    </row>
    <row r="277" spans="1:14" x14ac:dyDescent="0.25">
      <c r="A277" t="s">
        <v>142</v>
      </c>
      <c r="B277" t="s">
        <v>633</v>
      </c>
      <c r="C277" t="s">
        <v>14</v>
      </c>
      <c r="D277">
        <v>1</v>
      </c>
      <c r="E277">
        <v>890</v>
      </c>
      <c r="F277">
        <v>-7.6E-3</v>
      </c>
      <c r="G277">
        <v>-8.293E-3</v>
      </c>
      <c r="H277">
        <v>-6.74502E-4</v>
      </c>
      <c r="I277">
        <v>5.8194999999999997E-2</v>
      </c>
      <c r="J277">
        <v>5.8355999999999998E-2</v>
      </c>
      <c r="K277">
        <v>2.7828872E-3</v>
      </c>
      <c r="L277">
        <v>8.8540462599999994E-2</v>
      </c>
      <c r="M277">
        <v>0.95505617980000002</v>
      </c>
      <c r="N277">
        <v>4.6067415700000003E-2</v>
      </c>
    </row>
    <row r="278" spans="1:14" x14ac:dyDescent="0.25">
      <c r="A278" t="s">
        <v>142</v>
      </c>
      <c r="B278" t="s">
        <v>633</v>
      </c>
      <c r="C278" t="s">
        <v>15</v>
      </c>
      <c r="D278">
        <v>1</v>
      </c>
      <c r="E278">
        <v>890</v>
      </c>
      <c r="F278">
        <v>-0.4551</v>
      </c>
      <c r="G278">
        <v>-0.45554699999999998</v>
      </c>
      <c r="H278">
        <v>-4.1462699999999999E-4</v>
      </c>
      <c r="I278">
        <v>6.4739000000000005E-2</v>
      </c>
      <c r="J278">
        <v>6.2080999999999997E-2</v>
      </c>
      <c r="K278">
        <v>-4.1057774999999998E-2</v>
      </c>
      <c r="L278">
        <v>9.1100329999999996E-4</v>
      </c>
      <c r="M278">
        <v>0.94157303370000001</v>
      </c>
      <c r="N278">
        <v>1</v>
      </c>
    </row>
    <row r="279" spans="1:14" x14ac:dyDescent="0.25">
      <c r="A279" t="s">
        <v>142</v>
      </c>
      <c r="B279" t="s">
        <v>633</v>
      </c>
      <c r="C279" t="s">
        <v>16</v>
      </c>
      <c r="D279">
        <v>1</v>
      </c>
      <c r="E279">
        <v>890</v>
      </c>
      <c r="F279">
        <v>-8.0399999999999999E-2</v>
      </c>
      <c r="G279">
        <v>-8.1016000000000005E-2</v>
      </c>
      <c r="H279">
        <v>-6.0920400000000002E-4</v>
      </c>
      <c r="I279">
        <v>7.4995000000000006E-2</v>
      </c>
      <c r="J279">
        <v>7.3821999999999999E-2</v>
      </c>
      <c r="K279">
        <v>-1.5637759000000001E-2</v>
      </c>
      <c r="L279">
        <v>7.576546E-3</v>
      </c>
      <c r="M279">
        <v>0.94382022470000004</v>
      </c>
      <c r="N279">
        <v>0.21123595510000001</v>
      </c>
    </row>
    <row r="280" spans="1:14" x14ac:dyDescent="0.25">
      <c r="A280" t="s">
        <v>142</v>
      </c>
      <c r="B280" t="s">
        <v>633</v>
      </c>
      <c r="C280" t="s">
        <v>17</v>
      </c>
      <c r="D280">
        <v>1</v>
      </c>
      <c r="E280">
        <v>890</v>
      </c>
      <c r="F280">
        <v>-0.1255</v>
      </c>
      <c r="G280">
        <v>-0.12547800000000001</v>
      </c>
      <c r="H280">
        <v>-1.3317E-5</v>
      </c>
      <c r="I280">
        <v>5.8910000000000004E-3</v>
      </c>
      <c r="J280">
        <v>5.8019999999999999E-3</v>
      </c>
      <c r="K280">
        <v>-1.5137146000000001E-2</v>
      </c>
      <c r="L280">
        <v>1.061404E-4</v>
      </c>
      <c r="M280">
        <v>0.94831460670000001</v>
      </c>
      <c r="N280">
        <v>1</v>
      </c>
    </row>
    <row r="281" spans="1:14" x14ac:dyDescent="0.25">
      <c r="A281" t="s">
        <v>142</v>
      </c>
      <c r="B281" t="s">
        <v>633</v>
      </c>
      <c r="C281" t="s">
        <v>18</v>
      </c>
      <c r="D281">
        <v>1</v>
      </c>
      <c r="E281">
        <v>890</v>
      </c>
      <c r="F281">
        <v>-1.1999999999999999E-3</v>
      </c>
      <c r="G281">
        <v>-1.3979999999999999E-3</v>
      </c>
      <c r="H281">
        <v>-2.0611300000000001E-4</v>
      </c>
      <c r="I281">
        <v>3.0469999999999998E-3</v>
      </c>
      <c r="J281">
        <v>2.8800000000000002E-3</v>
      </c>
      <c r="K281">
        <v>-5.5008869000000002E-2</v>
      </c>
      <c r="L281">
        <v>0.17286074169999999</v>
      </c>
      <c r="M281">
        <v>0.94494382020000001</v>
      </c>
      <c r="N281">
        <v>8.7640449400000001E-2</v>
      </c>
    </row>
    <row r="282" spans="1:14" x14ac:dyDescent="0.25">
      <c r="A282" t="s">
        <v>142</v>
      </c>
      <c r="B282" t="s">
        <v>172</v>
      </c>
      <c r="C282" t="s">
        <v>12</v>
      </c>
      <c r="D282">
        <v>1</v>
      </c>
      <c r="E282">
        <v>1000</v>
      </c>
      <c r="F282">
        <v>106.8125</v>
      </c>
      <c r="G282">
        <v>106.70109100000001</v>
      </c>
      <c r="H282">
        <v>-0.111365489</v>
      </c>
      <c r="I282">
        <v>2.1287419999999999</v>
      </c>
      <c r="J282">
        <v>2.3857539999999999</v>
      </c>
      <c r="K282">
        <v>0.1207346057</v>
      </c>
      <c r="L282">
        <v>-1.0426260000000001E-3</v>
      </c>
      <c r="M282">
        <v>0.97199999999999998</v>
      </c>
      <c r="N282">
        <v>0</v>
      </c>
    </row>
    <row r="283" spans="1:14" x14ac:dyDescent="0.25">
      <c r="A283" t="s">
        <v>142</v>
      </c>
      <c r="B283" t="s">
        <v>172</v>
      </c>
      <c r="C283" t="s">
        <v>13</v>
      </c>
      <c r="D283">
        <v>1</v>
      </c>
      <c r="E283">
        <v>1000</v>
      </c>
      <c r="F283">
        <v>-4.7992999999999997</v>
      </c>
      <c r="G283">
        <v>-4.9836689999999999</v>
      </c>
      <c r="H283">
        <v>-0.18438743899999999</v>
      </c>
      <c r="I283">
        <v>0.82699599999999995</v>
      </c>
      <c r="J283">
        <v>0.90887600000000002</v>
      </c>
      <c r="K283">
        <v>9.9009545500000004E-2</v>
      </c>
      <c r="L283">
        <v>3.84197976E-2</v>
      </c>
      <c r="M283">
        <v>0.96599999999999997</v>
      </c>
      <c r="N283">
        <v>0</v>
      </c>
    </row>
    <row r="284" spans="1:14" x14ac:dyDescent="0.25">
      <c r="A284" t="s">
        <v>142</v>
      </c>
      <c r="B284" t="s">
        <v>172</v>
      </c>
      <c r="C284" t="s">
        <v>14</v>
      </c>
      <c r="D284">
        <v>1</v>
      </c>
      <c r="E284">
        <v>1000</v>
      </c>
      <c r="F284">
        <v>8.7021999999999995</v>
      </c>
      <c r="G284">
        <v>11.222224000000001</v>
      </c>
      <c r="H284">
        <v>2.5200162062000002</v>
      </c>
      <c r="I284">
        <v>0.46329399999999998</v>
      </c>
      <c r="J284">
        <v>0.45583200000000001</v>
      </c>
      <c r="K284">
        <v>-1.6105675E-2</v>
      </c>
      <c r="L284">
        <v>0.2895835625</v>
      </c>
      <c r="M284">
        <v>1E-3</v>
      </c>
      <c r="N284">
        <v>0</v>
      </c>
    </row>
    <row r="285" spans="1:14" x14ac:dyDescent="0.25">
      <c r="A285" t="s">
        <v>142</v>
      </c>
      <c r="B285" t="s">
        <v>172</v>
      </c>
      <c r="C285" t="s">
        <v>15</v>
      </c>
      <c r="D285">
        <v>1</v>
      </c>
      <c r="E285">
        <v>1000</v>
      </c>
      <c r="F285">
        <v>-1.5806</v>
      </c>
      <c r="G285">
        <v>-1.1471640000000001</v>
      </c>
      <c r="H285">
        <v>0.43346159159999997</v>
      </c>
      <c r="I285">
        <v>0.59179599999999999</v>
      </c>
      <c r="J285">
        <v>0.64239599999999997</v>
      </c>
      <c r="K285">
        <v>8.55023845E-2</v>
      </c>
      <c r="L285">
        <v>-0.27423414200000001</v>
      </c>
      <c r="M285">
        <v>0.92500000000000004</v>
      </c>
      <c r="N285">
        <v>0</v>
      </c>
    </row>
    <row r="286" spans="1:14" x14ac:dyDescent="0.25">
      <c r="A286" t="s">
        <v>142</v>
      </c>
      <c r="B286" t="s">
        <v>172</v>
      </c>
      <c r="C286" t="s">
        <v>16</v>
      </c>
      <c r="D286">
        <v>1</v>
      </c>
      <c r="E286">
        <v>1000</v>
      </c>
      <c r="F286">
        <v>-7.7763999999999998</v>
      </c>
      <c r="G286">
        <v>-9.9162029999999994</v>
      </c>
      <c r="H286">
        <v>-2.1397735920000001</v>
      </c>
      <c r="I286">
        <v>0.49399900000000002</v>
      </c>
      <c r="J286">
        <v>0.53224700000000003</v>
      </c>
      <c r="K286">
        <v>7.7425339900000001E-2</v>
      </c>
      <c r="L286">
        <v>0.27516146540000003</v>
      </c>
      <c r="M286">
        <v>2.3E-2</v>
      </c>
      <c r="N286">
        <v>0</v>
      </c>
    </row>
    <row r="287" spans="1:14" x14ac:dyDescent="0.25">
      <c r="A287" t="s">
        <v>142</v>
      </c>
      <c r="B287" t="s">
        <v>172</v>
      </c>
      <c r="C287" t="s">
        <v>17</v>
      </c>
      <c r="D287">
        <v>1</v>
      </c>
      <c r="E287">
        <v>1000</v>
      </c>
      <c r="F287">
        <v>5.8643999999999998</v>
      </c>
      <c r="G287">
        <v>5.7986300000000002</v>
      </c>
      <c r="H287">
        <v>-6.5780942999999995E-2</v>
      </c>
      <c r="I287">
        <v>3.1968999999999997E-2</v>
      </c>
      <c r="J287">
        <v>3.6020000000000003E-2</v>
      </c>
      <c r="K287">
        <v>0.12672206720000001</v>
      </c>
      <c r="L287">
        <v>-1.1216973999999999E-2</v>
      </c>
      <c r="M287">
        <v>0.59299999999999997</v>
      </c>
      <c r="N287">
        <v>0</v>
      </c>
    </row>
    <row r="288" spans="1:14" x14ac:dyDescent="0.25">
      <c r="A288" t="s">
        <v>142</v>
      </c>
      <c r="B288" t="s">
        <v>172</v>
      </c>
      <c r="C288" t="s">
        <v>18</v>
      </c>
      <c r="D288">
        <v>1</v>
      </c>
      <c r="E288">
        <v>1000</v>
      </c>
      <c r="F288">
        <v>3.2099999999999997E-2</v>
      </c>
      <c r="G288">
        <v>4.2069999999999998E-3</v>
      </c>
      <c r="H288">
        <v>-2.7900946999999999E-2</v>
      </c>
      <c r="I288">
        <v>2.6571000000000001E-2</v>
      </c>
      <c r="J288">
        <v>3.0508E-2</v>
      </c>
      <c r="K288">
        <v>0.14817514130000001</v>
      </c>
      <c r="L288">
        <v>-0.86896120600000004</v>
      </c>
      <c r="M288">
        <v>0.94</v>
      </c>
      <c r="N288">
        <v>0</v>
      </c>
    </row>
    <row r="289" spans="1:14" x14ac:dyDescent="0.25">
      <c r="A289" t="s">
        <v>142</v>
      </c>
      <c r="B289" t="s">
        <v>173</v>
      </c>
      <c r="C289" t="s">
        <v>12</v>
      </c>
      <c r="D289">
        <v>1</v>
      </c>
      <c r="E289">
        <v>1000</v>
      </c>
      <c r="F289">
        <v>106.8125</v>
      </c>
      <c r="G289">
        <v>105.021159</v>
      </c>
      <c r="H289">
        <v>-1.7912977640000001</v>
      </c>
      <c r="I289">
        <v>1.883254</v>
      </c>
      <c r="J289">
        <v>1.981492</v>
      </c>
      <c r="K289">
        <v>5.21644785E-2</v>
      </c>
      <c r="L289">
        <v>-1.6770495E-2</v>
      </c>
      <c r="M289">
        <v>0.877</v>
      </c>
      <c r="N289">
        <v>0</v>
      </c>
    </row>
    <row r="290" spans="1:14" x14ac:dyDescent="0.25">
      <c r="A290" t="s">
        <v>142</v>
      </c>
      <c r="B290" t="s">
        <v>173</v>
      </c>
      <c r="C290" t="s">
        <v>13</v>
      </c>
      <c r="D290">
        <v>1</v>
      </c>
      <c r="E290">
        <v>1000</v>
      </c>
      <c r="F290">
        <v>-4.7992999999999997</v>
      </c>
      <c r="G290">
        <v>-4.0795839999999997</v>
      </c>
      <c r="H290">
        <v>0.71969758790000005</v>
      </c>
      <c r="I290">
        <v>0.68600099999999997</v>
      </c>
      <c r="J290">
        <v>0.73735399999999995</v>
      </c>
      <c r="K290">
        <v>7.48581933E-2</v>
      </c>
      <c r="L290">
        <v>-0.149959432</v>
      </c>
      <c r="M290">
        <v>0.85199999999999998</v>
      </c>
      <c r="N290">
        <v>0</v>
      </c>
    </row>
    <row r="291" spans="1:14" x14ac:dyDescent="0.25">
      <c r="A291" t="s">
        <v>142</v>
      </c>
      <c r="B291" t="s">
        <v>173</v>
      </c>
      <c r="C291" t="s">
        <v>14</v>
      </c>
      <c r="D291">
        <v>1</v>
      </c>
      <c r="E291">
        <v>1000</v>
      </c>
      <c r="F291">
        <v>8.7021999999999995</v>
      </c>
      <c r="G291">
        <v>11.688022</v>
      </c>
      <c r="H291">
        <v>2.9858146944000001</v>
      </c>
      <c r="I291">
        <v>0.45375100000000002</v>
      </c>
      <c r="J291">
        <v>0.40271000000000001</v>
      </c>
      <c r="K291">
        <v>-0.112485459</v>
      </c>
      <c r="L291">
        <v>0.34311003800000001</v>
      </c>
      <c r="M291">
        <v>0</v>
      </c>
      <c r="N291">
        <v>0</v>
      </c>
    </row>
    <row r="292" spans="1:14" x14ac:dyDescent="0.25">
      <c r="A292" t="s">
        <v>142</v>
      </c>
      <c r="B292" t="s">
        <v>173</v>
      </c>
      <c r="C292" t="s">
        <v>15</v>
      </c>
      <c r="D292">
        <v>1</v>
      </c>
      <c r="E292">
        <v>1000</v>
      </c>
      <c r="F292">
        <v>-1.5806</v>
      </c>
      <c r="G292">
        <v>-1.480167</v>
      </c>
      <c r="H292">
        <v>0.10045890659999999</v>
      </c>
      <c r="I292">
        <v>0.47151399999999999</v>
      </c>
      <c r="J292">
        <v>0.49912499999999999</v>
      </c>
      <c r="K292">
        <v>5.85576836E-2</v>
      </c>
      <c r="L292">
        <v>-6.3556408999999994E-2</v>
      </c>
      <c r="M292">
        <v>0.95899999999999996</v>
      </c>
      <c r="N292">
        <v>0</v>
      </c>
    </row>
    <row r="293" spans="1:14" x14ac:dyDescent="0.25">
      <c r="A293" t="s">
        <v>142</v>
      </c>
      <c r="B293" t="s">
        <v>173</v>
      </c>
      <c r="C293" t="s">
        <v>16</v>
      </c>
      <c r="D293">
        <v>1</v>
      </c>
      <c r="E293">
        <v>1000</v>
      </c>
      <c r="F293">
        <v>-7.7763999999999998</v>
      </c>
      <c r="G293">
        <v>-10.465213</v>
      </c>
      <c r="H293">
        <v>-2.688784053</v>
      </c>
      <c r="I293">
        <v>0.47934300000000002</v>
      </c>
      <c r="J293">
        <v>0.47693400000000002</v>
      </c>
      <c r="K293">
        <v>-5.02587E-3</v>
      </c>
      <c r="L293">
        <v>0.34576076770000003</v>
      </c>
      <c r="M293">
        <v>0</v>
      </c>
      <c r="N293">
        <v>0</v>
      </c>
    </row>
    <row r="294" spans="1:14" x14ac:dyDescent="0.25">
      <c r="A294" t="s">
        <v>142</v>
      </c>
      <c r="B294" t="s">
        <v>173</v>
      </c>
      <c r="C294" t="s">
        <v>17</v>
      </c>
      <c r="D294">
        <v>1</v>
      </c>
      <c r="E294">
        <v>1000</v>
      </c>
      <c r="F294">
        <v>5.8643999999999998</v>
      </c>
      <c r="G294">
        <v>5.8052609999999998</v>
      </c>
      <c r="H294">
        <v>-5.9149529999999999E-2</v>
      </c>
      <c r="I294">
        <v>2.5776E-2</v>
      </c>
      <c r="J294">
        <v>2.8104000000000001E-2</v>
      </c>
      <c r="K294">
        <v>9.0299578000000005E-2</v>
      </c>
      <c r="L294">
        <v>-1.0086184999999999E-2</v>
      </c>
      <c r="M294">
        <v>0.46200000000000002</v>
      </c>
      <c r="N294">
        <v>0</v>
      </c>
    </row>
    <row r="295" spans="1:14" x14ac:dyDescent="0.25">
      <c r="A295" t="s">
        <v>142</v>
      </c>
      <c r="B295" t="s">
        <v>173</v>
      </c>
      <c r="C295" t="s">
        <v>18</v>
      </c>
      <c r="D295">
        <v>1</v>
      </c>
      <c r="E295">
        <v>1000</v>
      </c>
      <c r="F295">
        <v>3.2099999999999997E-2</v>
      </c>
      <c r="G295">
        <v>2.9866E-2</v>
      </c>
      <c r="H295">
        <v>-2.2427319999999999E-3</v>
      </c>
      <c r="I295">
        <v>1.6650000000000002E-2</v>
      </c>
      <c r="J295">
        <v>1.9954E-2</v>
      </c>
      <c r="K295">
        <v>0.19846389859999999</v>
      </c>
      <c r="L295">
        <v>-6.9848769000000005E-2</v>
      </c>
      <c r="M295">
        <v>0.98099999999999998</v>
      </c>
      <c r="N295">
        <v>0</v>
      </c>
    </row>
    <row r="296" spans="1:14" x14ac:dyDescent="0.25">
      <c r="A296" t="s">
        <v>142</v>
      </c>
      <c r="B296" t="s">
        <v>363</v>
      </c>
      <c r="C296" t="s">
        <v>12</v>
      </c>
      <c r="D296">
        <v>1</v>
      </c>
      <c r="E296">
        <v>1000</v>
      </c>
      <c r="F296">
        <v>106.8125</v>
      </c>
      <c r="G296">
        <v>101.41365399999999</v>
      </c>
      <c r="H296">
        <v>-5.398802742</v>
      </c>
      <c r="I296">
        <v>1.497063</v>
      </c>
      <c r="J296">
        <v>1.6885680000000001</v>
      </c>
      <c r="K296">
        <v>0.12792027989999999</v>
      </c>
      <c r="L296">
        <v>-5.0544692000000002E-2</v>
      </c>
      <c r="M296">
        <v>0.08</v>
      </c>
      <c r="N296">
        <v>0</v>
      </c>
    </row>
    <row r="297" spans="1:14" x14ac:dyDescent="0.25">
      <c r="A297" t="s">
        <v>142</v>
      </c>
      <c r="B297" t="s">
        <v>363</v>
      </c>
      <c r="C297" t="s">
        <v>13</v>
      </c>
      <c r="D297">
        <v>1</v>
      </c>
      <c r="E297">
        <v>1000</v>
      </c>
      <c r="F297">
        <v>-4.7992999999999997</v>
      </c>
      <c r="G297">
        <v>-5.0313210000000002</v>
      </c>
      <c r="H297">
        <v>-0.23203895499999999</v>
      </c>
      <c r="I297">
        <v>0.58064499999999997</v>
      </c>
      <c r="J297">
        <v>0.62848099999999996</v>
      </c>
      <c r="K297">
        <v>8.23838816E-2</v>
      </c>
      <c r="L297">
        <v>4.83486822E-2</v>
      </c>
      <c r="M297">
        <v>0.95499999999999996</v>
      </c>
      <c r="N297">
        <v>0</v>
      </c>
    </row>
    <row r="298" spans="1:14" x14ac:dyDescent="0.25">
      <c r="A298" t="s">
        <v>142</v>
      </c>
      <c r="B298" t="s">
        <v>363</v>
      </c>
      <c r="C298" t="s">
        <v>14</v>
      </c>
      <c r="D298">
        <v>1</v>
      </c>
      <c r="E298">
        <v>1000</v>
      </c>
      <c r="F298">
        <v>8.7021999999999995</v>
      </c>
      <c r="G298">
        <v>11.689633000000001</v>
      </c>
      <c r="H298">
        <v>2.9874260392999998</v>
      </c>
      <c r="I298">
        <v>0.38594699999999998</v>
      </c>
      <c r="J298">
        <v>0.364672</v>
      </c>
      <c r="K298">
        <v>-5.5124119999999999E-2</v>
      </c>
      <c r="L298">
        <v>0.34329520299999999</v>
      </c>
      <c r="M298">
        <v>0</v>
      </c>
      <c r="N298">
        <v>0</v>
      </c>
    </row>
    <row r="299" spans="1:14" x14ac:dyDescent="0.25">
      <c r="A299" t="s">
        <v>142</v>
      </c>
      <c r="B299" t="s">
        <v>363</v>
      </c>
      <c r="C299" t="s">
        <v>15</v>
      </c>
      <c r="D299">
        <v>1</v>
      </c>
      <c r="E299">
        <v>1000</v>
      </c>
      <c r="F299">
        <v>-1.5806</v>
      </c>
      <c r="G299">
        <v>-0.65808199999999994</v>
      </c>
      <c r="H299">
        <v>0.92254343839999997</v>
      </c>
      <c r="I299">
        <v>0.373056</v>
      </c>
      <c r="J299">
        <v>0.41852800000000001</v>
      </c>
      <c r="K299">
        <v>0.1218897578</v>
      </c>
      <c r="L299">
        <v>-0.58365703700000005</v>
      </c>
      <c r="M299">
        <v>0.39700000000000002</v>
      </c>
      <c r="N299">
        <v>0</v>
      </c>
    </row>
    <row r="300" spans="1:14" x14ac:dyDescent="0.25">
      <c r="A300" t="s">
        <v>142</v>
      </c>
      <c r="B300" t="s">
        <v>363</v>
      </c>
      <c r="C300" t="s">
        <v>16</v>
      </c>
      <c r="D300">
        <v>1</v>
      </c>
      <c r="E300">
        <v>1000</v>
      </c>
      <c r="F300">
        <v>-7.7763999999999998</v>
      </c>
      <c r="G300">
        <v>-10.39542</v>
      </c>
      <c r="H300">
        <v>-2.6189909889999998</v>
      </c>
      <c r="I300">
        <v>0.45177600000000001</v>
      </c>
      <c r="J300">
        <v>0.44481900000000002</v>
      </c>
      <c r="K300">
        <v>-1.5398386999999999E-2</v>
      </c>
      <c r="L300">
        <v>0.33678581730000001</v>
      </c>
      <c r="M300">
        <v>0</v>
      </c>
      <c r="N300">
        <v>0</v>
      </c>
    </row>
    <row r="301" spans="1:14" x14ac:dyDescent="0.25">
      <c r="A301" t="s">
        <v>142</v>
      </c>
      <c r="B301" t="s">
        <v>363</v>
      </c>
      <c r="C301" t="s">
        <v>17</v>
      </c>
      <c r="D301">
        <v>1</v>
      </c>
      <c r="E301">
        <v>1000</v>
      </c>
      <c r="F301">
        <v>5.8643999999999998</v>
      </c>
      <c r="G301">
        <v>5.8154919999999999</v>
      </c>
      <c r="H301">
        <v>-4.8918521999999999E-2</v>
      </c>
      <c r="I301">
        <v>2.3377999999999999E-2</v>
      </c>
      <c r="J301">
        <v>2.4733999999999999E-2</v>
      </c>
      <c r="K301">
        <v>5.7977002399999998E-2</v>
      </c>
      <c r="L301">
        <v>-8.3415920000000001E-3</v>
      </c>
      <c r="M301">
        <v>0.497</v>
      </c>
      <c r="N301">
        <v>0</v>
      </c>
    </row>
    <row r="302" spans="1:14" x14ac:dyDescent="0.25">
      <c r="A302" t="s">
        <v>142</v>
      </c>
      <c r="B302" t="s">
        <v>363</v>
      </c>
      <c r="C302" t="s">
        <v>18</v>
      </c>
      <c r="D302">
        <v>1</v>
      </c>
      <c r="E302">
        <v>1000</v>
      </c>
      <c r="F302">
        <v>3.2099999999999997E-2</v>
      </c>
      <c r="G302">
        <v>3.2293000000000002E-2</v>
      </c>
      <c r="H302">
        <v>1.8501450000000001E-4</v>
      </c>
      <c r="I302">
        <v>1.4694E-2</v>
      </c>
      <c r="J302">
        <v>1.6961E-2</v>
      </c>
      <c r="K302">
        <v>0.1542854723</v>
      </c>
      <c r="L302">
        <v>5.7621864E-3</v>
      </c>
      <c r="M302">
        <v>0.97499999999999998</v>
      </c>
      <c r="N302">
        <v>0</v>
      </c>
    </row>
    <row r="303" spans="1:14" x14ac:dyDescent="0.25">
      <c r="A303" t="s">
        <v>142</v>
      </c>
      <c r="B303" t="s">
        <v>364</v>
      </c>
      <c r="C303" t="s">
        <v>12</v>
      </c>
      <c r="D303">
        <v>1</v>
      </c>
      <c r="E303">
        <v>1000</v>
      </c>
      <c r="F303">
        <v>106.8125</v>
      </c>
      <c r="G303">
        <v>101.36799000000001</v>
      </c>
      <c r="H303">
        <v>-5.4444662060000004</v>
      </c>
      <c r="I303">
        <v>1.5133509999999999</v>
      </c>
      <c r="J303">
        <v>1.6944969999999999</v>
      </c>
      <c r="K303">
        <v>0.11969837329999999</v>
      </c>
      <c r="L303">
        <v>-5.0972203000000001E-2</v>
      </c>
      <c r="M303">
        <v>7.8E-2</v>
      </c>
      <c r="N303">
        <v>0</v>
      </c>
    </row>
    <row r="304" spans="1:14" x14ac:dyDescent="0.25">
      <c r="A304" t="s">
        <v>142</v>
      </c>
      <c r="B304" t="s">
        <v>364</v>
      </c>
      <c r="C304" t="s">
        <v>13</v>
      </c>
      <c r="D304">
        <v>1</v>
      </c>
      <c r="E304">
        <v>1000</v>
      </c>
      <c r="F304">
        <v>-4.7992999999999997</v>
      </c>
      <c r="G304">
        <v>-4.9891719999999999</v>
      </c>
      <c r="H304">
        <v>-0.189889951</v>
      </c>
      <c r="I304">
        <v>0.58659399999999995</v>
      </c>
      <c r="J304">
        <v>0.62827999999999995</v>
      </c>
      <c r="K304">
        <v>7.1063833100000001E-2</v>
      </c>
      <c r="L304">
        <v>3.9566325800000003E-2</v>
      </c>
      <c r="M304">
        <v>0.95799999999999996</v>
      </c>
      <c r="N304">
        <v>0</v>
      </c>
    </row>
    <row r="305" spans="1:14" x14ac:dyDescent="0.25">
      <c r="A305" t="s">
        <v>142</v>
      </c>
      <c r="B305" t="s">
        <v>364</v>
      </c>
      <c r="C305" t="s">
        <v>14</v>
      </c>
      <c r="D305">
        <v>1</v>
      </c>
      <c r="E305">
        <v>1000</v>
      </c>
      <c r="F305">
        <v>8.7021999999999995</v>
      </c>
      <c r="G305">
        <v>11.811840999999999</v>
      </c>
      <c r="H305">
        <v>3.1096339032999998</v>
      </c>
      <c r="I305">
        <v>0.38259399999999999</v>
      </c>
      <c r="J305">
        <v>0.36363499999999999</v>
      </c>
      <c r="K305">
        <v>-4.9553001999999999E-2</v>
      </c>
      <c r="L305">
        <v>0.35733852090000001</v>
      </c>
      <c r="M305">
        <v>0</v>
      </c>
      <c r="N305">
        <v>0</v>
      </c>
    </row>
    <row r="306" spans="1:14" x14ac:dyDescent="0.25">
      <c r="A306" t="s">
        <v>142</v>
      </c>
      <c r="B306" t="s">
        <v>364</v>
      </c>
      <c r="C306" t="s">
        <v>15</v>
      </c>
      <c r="D306">
        <v>1</v>
      </c>
      <c r="E306">
        <v>1000</v>
      </c>
      <c r="F306">
        <v>-1.5806</v>
      </c>
      <c r="G306">
        <v>-0.657524</v>
      </c>
      <c r="H306">
        <v>0.92310215439999999</v>
      </c>
      <c r="I306">
        <v>0.37349900000000003</v>
      </c>
      <c r="J306">
        <v>0.41603600000000002</v>
      </c>
      <c r="K306">
        <v>0.1138898584</v>
      </c>
      <c r="L306">
        <v>-0.58401051500000001</v>
      </c>
      <c r="M306">
        <v>0.38800000000000001</v>
      </c>
      <c r="N306">
        <v>0</v>
      </c>
    </row>
    <row r="307" spans="1:14" x14ac:dyDescent="0.25">
      <c r="A307" t="s">
        <v>142</v>
      </c>
      <c r="B307" t="s">
        <v>364</v>
      </c>
      <c r="C307" t="s">
        <v>16</v>
      </c>
      <c r="D307">
        <v>1</v>
      </c>
      <c r="E307">
        <v>1000</v>
      </c>
      <c r="F307">
        <v>-7.7763999999999998</v>
      </c>
      <c r="G307">
        <v>-10.496326</v>
      </c>
      <c r="H307">
        <v>-2.7198966250000001</v>
      </c>
      <c r="I307">
        <v>0.43149900000000002</v>
      </c>
      <c r="J307">
        <v>0.44417600000000002</v>
      </c>
      <c r="K307">
        <v>2.9377863300000001E-2</v>
      </c>
      <c r="L307">
        <v>0.34976164939999999</v>
      </c>
      <c r="M307">
        <v>0</v>
      </c>
      <c r="N307">
        <v>0</v>
      </c>
    </row>
    <row r="308" spans="1:14" x14ac:dyDescent="0.25">
      <c r="A308" t="s">
        <v>142</v>
      </c>
      <c r="B308" t="s">
        <v>364</v>
      </c>
      <c r="C308" t="s">
        <v>17</v>
      </c>
      <c r="D308">
        <v>1</v>
      </c>
      <c r="E308">
        <v>1000</v>
      </c>
      <c r="F308">
        <v>5.8643999999999998</v>
      </c>
      <c r="G308">
        <v>5.8115819999999996</v>
      </c>
      <c r="H308">
        <v>-5.2828886999999998E-2</v>
      </c>
      <c r="I308">
        <v>2.3231000000000002E-2</v>
      </c>
      <c r="J308">
        <v>2.4837000000000001E-2</v>
      </c>
      <c r="K308">
        <v>6.9140134500000006E-2</v>
      </c>
      <c r="L308">
        <v>-9.0083880000000009E-3</v>
      </c>
      <c r="M308">
        <v>0.435</v>
      </c>
      <c r="N308">
        <v>0</v>
      </c>
    </row>
    <row r="309" spans="1:14" x14ac:dyDescent="0.25">
      <c r="A309" t="s">
        <v>142</v>
      </c>
      <c r="B309" t="s">
        <v>364</v>
      </c>
      <c r="C309" t="s">
        <v>18</v>
      </c>
      <c r="D309">
        <v>1</v>
      </c>
      <c r="E309">
        <v>1000</v>
      </c>
      <c r="F309">
        <v>3.2099999999999997E-2</v>
      </c>
      <c r="G309">
        <v>3.1620000000000002E-2</v>
      </c>
      <c r="H309">
        <v>-4.8860600000000004E-4</v>
      </c>
      <c r="I309">
        <v>1.4586E-2</v>
      </c>
      <c r="J309">
        <v>1.6774000000000001E-2</v>
      </c>
      <c r="K309">
        <v>0.15001060899999999</v>
      </c>
      <c r="L309">
        <v>-1.5217390000000001E-2</v>
      </c>
      <c r="M309">
        <v>0.97699999999999998</v>
      </c>
      <c r="N309">
        <v>0</v>
      </c>
    </row>
    <row r="310" spans="1:14" x14ac:dyDescent="0.25">
      <c r="A310" t="s">
        <v>142</v>
      </c>
      <c r="B310" t="s">
        <v>365</v>
      </c>
      <c r="C310" t="s">
        <v>12</v>
      </c>
      <c r="D310">
        <v>1</v>
      </c>
      <c r="E310">
        <v>1000</v>
      </c>
      <c r="F310">
        <v>3.1539000000000001</v>
      </c>
      <c r="G310">
        <v>3.4004940000000001</v>
      </c>
      <c r="H310">
        <v>0.24660612060000001</v>
      </c>
      <c r="I310">
        <v>0.28722500000000001</v>
      </c>
      <c r="J310">
        <v>0.29222999999999999</v>
      </c>
      <c r="K310">
        <v>1.74239752E-2</v>
      </c>
      <c r="L310">
        <v>7.8191143699999993E-2</v>
      </c>
      <c r="M310">
        <v>0.88600000000000001</v>
      </c>
      <c r="N310">
        <v>0</v>
      </c>
    </row>
    <row r="311" spans="1:14" x14ac:dyDescent="0.25">
      <c r="A311" t="s">
        <v>142</v>
      </c>
      <c r="B311" t="s">
        <v>365</v>
      </c>
      <c r="C311" t="s">
        <v>13</v>
      </c>
      <c r="D311">
        <v>1</v>
      </c>
      <c r="E311">
        <v>1000</v>
      </c>
      <c r="F311">
        <v>-0.434</v>
      </c>
      <c r="G311">
        <v>-0.66037900000000005</v>
      </c>
      <c r="H311">
        <v>-0.226419328</v>
      </c>
      <c r="I311">
        <v>9.7109000000000001E-2</v>
      </c>
      <c r="J311">
        <v>0.101477</v>
      </c>
      <c r="K311">
        <v>4.4973627400000001E-2</v>
      </c>
      <c r="L311">
        <v>0.52175157179999998</v>
      </c>
      <c r="M311">
        <v>0.46100000000000002</v>
      </c>
      <c r="N311">
        <v>0</v>
      </c>
    </row>
    <row r="312" spans="1:14" x14ac:dyDescent="0.25">
      <c r="A312" t="s">
        <v>142</v>
      </c>
      <c r="B312" t="s">
        <v>365</v>
      </c>
      <c r="C312" t="s">
        <v>14</v>
      </c>
      <c r="D312">
        <v>1</v>
      </c>
      <c r="E312">
        <v>1000</v>
      </c>
      <c r="F312">
        <v>-7.6E-3</v>
      </c>
      <c r="G312">
        <v>2.3140000000000001E-3</v>
      </c>
      <c r="H312">
        <v>9.9319865E-3</v>
      </c>
      <c r="I312">
        <v>4.3333000000000003E-2</v>
      </c>
      <c r="J312">
        <v>5.4012999999999999E-2</v>
      </c>
      <c r="K312">
        <v>0.24647429949999999</v>
      </c>
      <c r="L312">
        <v>-1.3037506059999999</v>
      </c>
      <c r="M312">
        <v>0.98099999999999998</v>
      </c>
      <c r="N312">
        <v>0</v>
      </c>
    </row>
    <row r="313" spans="1:14" x14ac:dyDescent="0.25">
      <c r="A313" t="s">
        <v>142</v>
      </c>
      <c r="B313" t="s">
        <v>365</v>
      </c>
      <c r="C313" t="s">
        <v>15</v>
      </c>
      <c r="D313">
        <v>1</v>
      </c>
      <c r="E313">
        <v>1000</v>
      </c>
      <c r="F313">
        <v>-0.4551</v>
      </c>
      <c r="G313">
        <v>-0.37456699999999998</v>
      </c>
      <c r="H313">
        <v>8.05645111E-2</v>
      </c>
      <c r="I313">
        <v>5.3166999999999999E-2</v>
      </c>
      <c r="J313">
        <v>6.0394000000000003E-2</v>
      </c>
      <c r="K313">
        <v>0.1359427218</v>
      </c>
      <c r="L313">
        <v>-0.17701354799999999</v>
      </c>
      <c r="M313">
        <v>0.79</v>
      </c>
      <c r="N313">
        <v>0</v>
      </c>
    </row>
    <row r="314" spans="1:14" x14ac:dyDescent="0.25">
      <c r="A314" t="s">
        <v>142</v>
      </c>
      <c r="B314" t="s">
        <v>365</v>
      </c>
      <c r="C314" t="s">
        <v>16</v>
      </c>
      <c r="D314">
        <v>1</v>
      </c>
      <c r="E314">
        <v>1000</v>
      </c>
      <c r="F314">
        <v>-8.0399999999999999E-2</v>
      </c>
      <c r="G314">
        <v>-2.1399999999999999E-2</v>
      </c>
      <c r="H314">
        <v>5.9006639800000003E-2</v>
      </c>
      <c r="I314">
        <v>5.5941999999999999E-2</v>
      </c>
      <c r="J314">
        <v>6.4883999999999997E-2</v>
      </c>
      <c r="K314">
        <v>0.15984927909999999</v>
      </c>
      <c r="L314">
        <v>-0.73385378899999998</v>
      </c>
      <c r="M314">
        <v>0.876</v>
      </c>
      <c r="N314">
        <v>0</v>
      </c>
    </row>
    <row r="315" spans="1:14" x14ac:dyDescent="0.25">
      <c r="A315" t="s">
        <v>142</v>
      </c>
      <c r="B315" t="s">
        <v>365</v>
      </c>
      <c r="C315" t="s">
        <v>17</v>
      </c>
      <c r="D315">
        <v>1</v>
      </c>
      <c r="E315">
        <v>1000</v>
      </c>
      <c r="F315">
        <v>-0.1255</v>
      </c>
      <c r="G315">
        <v>-0.14904700000000001</v>
      </c>
      <c r="H315">
        <v>-2.3582525E-2</v>
      </c>
      <c r="I315">
        <v>8.4899999999999993E-3</v>
      </c>
      <c r="J315">
        <v>7.7089999999999997E-3</v>
      </c>
      <c r="K315">
        <v>-9.2057601000000003E-2</v>
      </c>
      <c r="L315">
        <v>0.18796135789999999</v>
      </c>
      <c r="M315">
        <v>0.23699999999999999</v>
      </c>
      <c r="N315">
        <v>0</v>
      </c>
    </row>
    <row r="316" spans="1:14" x14ac:dyDescent="0.25">
      <c r="A316" t="s">
        <v>142</v>
      </c>
      <c r="B316" t="s">
        <v>365</v>
      </c>
      <c r="C316" t="s">
        <v>18</v>
      </c>
      <c r="D316">
        <v>1</v>
      </c>
      <c r="E316">
        <v>1000</v>
      </c>
      <c r="F316">
        <v>-1.1999999999999999E-3</v>
      </c>
      <c r="G316">
        <v>-5.3499999999999997E-3</v>
      </c>
      <c r="H316">
        <v>-4.157951E-3</v>
      </c>
      <c r="I316">
        <v>4.4530000000000004E-3</v>
      </c>
      <c r="J316">
        <v>4.5659999999999997E-3</v>
      </c>
      <c r="K316">
        <v>2.5522842800000001E-2</v>
      </c>
      <c r="L316">
        <v>3.4871456519000001</v>
      </c>
      <c r="M316">
        <v>0.86099999999999999</v>
      </c>
      <c r="N316">
        <v>0</v>
      </c>
    </row>
    <row r="317" spans="1:14" x14ac:dyDescent="0.25">
      <c r="A317" t="s">
        <v>142</v>
      </c>
      <c r="B317" t="s">
        <v>366</v>
      </c>
      <c r="C317" t="s">
        <v>12</v>
      </c>
      <c r="D317">
        <v>1</v>
      </c>
      <c r="E317">
        <v>1000</v>
      </c>
      <c r="F317">
        <v>3.1539000000000001</v>
      </c>
      <c r="G317">
        <v>3.1033270000000002</v>
      </c>
      <c r="H317">
        <v>-5.0560977E-2</v>
      </c>
      <c r="I317">
        <v>0.236814</v>
      </c>
      <c r="J317">
        <v>0.25212600000000002</v>
      </c>
      <c r="K317">
        <v>6.4656546600000003E-2</v>
      </c>
      <c r="L317">
        <v>-1.6031316E-2</v>
      </c>
      <c r="M317">
        <v>0.95699999999999996</v>
      </c>
      <c r="N317">
        <v>0</v>
      </c>
    </row>
    <row r="318" spans="1:14" x14ac:dyDescent="0.25">
      <c r="A318" t="s">
        <v>142</v>
      </c>
      <c r="B318" t="s">
        <v>366</v>
      </c>
      <c r="C318" t="s">
        <v>13</v>
      </c>
      <c r="D318">
        <v>1</v>
      </c>
      <c r="E318">
        <v>1000</v>
      </c>
      <c r="F318">
        <v>-0.434</v>
      </c>
      <c r="G318">
        <v>-0.29882900000000001</v>
      </c>
      <c r="H318">
        <v>0.1351310932</v>
      </c>
      <c r="I318">
        <v>9.4890000000000002E-2</v>
      </c>
      <c r="J318">
        <v>9.4621999999999998E-2</v>
      </c>
      <c r="K318">
        <v>-2.8285799999999998E-3</v>
      </c>
      <c r="L318">
        <v>-0.31139064399999999</v>
      </c>
      <c r="M318">
        <v>0.72199999999999998</v>
      </c>
      <c r="N318">
        <v>0</v>
      </c>
    </row>
    <row r="319" spans="1:14" x14ac:dyDescent="0.25">
      <c r="A319" t="s">
        <v>142</v>
      </c>
      <c r="B319" t="s">
        <v>366</v>
      </c>
      <c r="C319" t="s">
        <v>14</v>
      </c>
      <c r="D319">
        <v>1</v>
      </c>
      <c r="E319">
        <v>1000</v>
      </c>
      <c r="F319">
        <v>-7.6E-3</v>
      </c>
      <c r="G319">
        <v>-2.6578999999999998E-2</v>
      </c>
      <c r="H319">
        <v>-1.8960843000000002E-2</v>
      </c>
      <c r="I319">
        <v>4.0726999999999999E-2</v>
      </c>
      <c r="J319">
        <v>5.0839000000000002E-2</v>
      </c>
      <c r="K319">
        <v>0.24829845519999999</v>
      </c>
      <c r="L319">
        <v>2.4889493393</v>
      </c>
      <c r="M319">
        <v>0.96899999999999997</v>
      </c>
      <c r="N319">
        <v>0</v>
      </c>
    </row>
    <row r="320" spans="1:14" x14ac:dyDescent="0.25">
      <c r="A320" t="s">
        <v>142</v>
      </c>
      <c r="B320" t="s">
        <v>366</v>
      </c>
      <c r="C320" t="s">
        <v>15</v>
      </c>
      <c r="D320">
        <v>1</v>
      </c>
      <c r="E320">
        <v>1000</v>
      </c>
      <c r="F320">
        <v>-0.4551</v>
      </c>
      <c r="G320">
        <v>-0.49637300000000001</v>
      </c>
      <c r="H320">
        <v>-4.1241381000000001E-2</v>
      </c>
      <c r="I320">
        <v>5.6061E-2</v>
      </c>
      <c r="J320">
        <v>5.9638999999999998E-2</v>
      </c>
      <c r="K320">
        <v>6.3822292700000005E-2</v>
      </c>
      <c r="L320">
        <v>9.0614132299999997E-2</v>
      </c>
      <c r="M320">
        <v>0.91400000000000003</v>
      </c>
      <c r="N320">
        <v>0</v>
      </c>
    </row>
    <row r="321" spans="1:14" x14ac:dyDescent="0.25">
      <c r="A321" t="s">
        <v>142</v>
      </c>
      <c r="B321" t="s">
        <v>366</v>
      </c>
      <c r="C321" t="s">
        <v>16</v>
      </c>
      <c r="D321">
        <v>1</v>
      </c>
      <c r="E321">
        <v>1000</v>
      </c>
      <c r="F321">
        <v>-8.0399999999999999E-2</v>
      </c>
      <c r="G321">
        <v>-7.6367000000000004E-2</v>
      </c>
      <c r="H321">
        <v>4.0399028999999996E-3</v>
      </c>
      <c r="I321">
        <v>5.3314E-2</v>
      </c>
      <c r="J321">
        <v>6.2798000000000007E-2</v>
      </c>
      <c r="K321">
        <v>0.1778960232</v>
      </c>
      <c r="L321">
        <v>-5.0243465000000001E-2</v>
      </c>
      <c r="M321">
        <v>0.97399999999999998</v>
      </c>
      <c r="N321">
        <v>0</v>
      </c>
    </row>
    <row r="322" spans="1:14" x14ac:dyDescent="0.25">
      <c r="A322" t="s">
        <v>142</v>
      </c>
      <c r="B322" t="s">
        <v>366</v>
      </c>
      <c r="C322" t="s">
        <v>17</v>
      </c>
      <c r="D322">
        <v>1</v>
      </c>
      <c r="E322">
        <v>1000</v>
      </c>
      <c r="F322">
        <v>-0.1255</v>
      </c>
      <c r="G322">
        <v>-0.12881600000000001</v>
      </c>
      <c r="H322">
        <v>-3.3510689999999999E-3</v>
      </c>
      <c r="I322">
        <v>5.9769999999999997E-3</v>
      </c>
      <c r="J322">
        <v>6.0600000000000003E-3</v>
      </c>
      <c r="K322">
        <v>1.39570643E-2</v>
      </c>
      <c r="L322">
        <v>2.6709247500000002E-2</v>
      </c>
      <c r="M322">
        <v>0.91200000000000003</v>
      </c>
      <c r="N322">
        <v>0</v>
      </c>
    </row>
    <row r="323" spans="1:14" x14ac:dyDescent="0.25">
      <c r="A323" t="s">
        <v>142</v>
      </c>
      <c r="B323" t="s">
        <v>366</v>
      </c>
      <c r="C323" t="s">
        <v>18</v>
      </c>
      <c r="D323">
        <v>1</v>
      </c>
      <c r="E323">
        <v>1000</v>
      </c>
      <c r="F323">
        <v>-1.1999999999999999E-3</v>
      </c>
      <c r="G323">
        <v>7.6000000000000004E-4</v>
      </c>
      <c r="H323">
        <v>1.9519629999999999E-3</v>
      </c>
      <c r="I323">
        <v>3.009E-3</v>
      </c>
      <c r="J323">
        <v>3.14E-3</v>
      </c>
      <c r="K323">
        <v>4.34846407E-2</v>
      </c>
      <c r="L323">
        <v>-1.6370512740000001</v>
      </c>
      <c r="M323">
        <v>0.93400000000000005</v>
      </c>
      <c r="N323">
        <v>0</v>
      </c>
    </row>
    <row r="324" spans="1:14" x14ac:dyDescent="0.25">
      <c r="A324" t="s">
        <v>142</v>
      </c>
      <c r="B324" t="s">
        <v>367</v>
      </c>
      <c r="C324" t="s">
        <v>12</v>
      </c>
      <c r="D324">
        <v>1</v>
      </c>
      <c r="E324">
        <v>1000</v>
      </c>
      <c r="F324">
        <v>3.1539000000000001</v>
      </c>
      <c r="G324">
        <v>3.2602150000000001</v>
      </c>
      <c r="H324">
        <v>0.1063266021</v>
      </c>
      <c r="I324">
        <v>0.20696700000000001</v>
      </c>
      <c r="J324">
        <v>0.21354000000000001</v>
      </c>
      <c r="K324">
        <v>3.1761277599999999E-2</v>
      </c>
      <c r="L324">
        <v>3.3712864100000003E-2</v>
      </c>
      <c r="M324">
        <v>0.92200000000000004</v>
      </c>
      <c r="N324">
        <v>0</v>
      </c>
    </row>
    <row r="325" spans="1:14" x14ac:dyDescent="0.25">
      <c r="A325" t="s">
        <v>142</v>
      </c>
      <c r="B325" t="s">
        <v>367</v>
      </c>
      <c r="C325" t="s">
        <v>13</v>
      </c>
      <c r="D325">
        <v>1</v>
      </c>
      <c r="E325">
        <v>1000</v>
      </c>
      <c r="F325">
        <v>-0.434</v>
      </c>
      <c r="G325">
        <v>-0.45988600000000002</v>
      </c>
      <c r="H325">
        <v>-2.5926066000000001E-2</v>
      </c>
      <c r="I325">
        <v>7.4580999999999995E-2</v>
      </c>
      <c r="J325">
        <v>7.6430999999999999E-2</v>
      </c>
      <c r="K325">
        <v>2.4815975699999999E-2</v>
      </c>
      <c r="L325">
        <v>5.9742982299999997E-2</v>
      </c>
      <c r="M325">
        <v>0.94499999999999995</v>
      </c>
      <c r="N325">
        <v>0</v>
      </c>
    </row>
    <row r="326" spans="1:14" x14ac:dyDescent="0.25">
      <c r="A326" t="s">
        <v>142</v>
      </c>
      <c r="B326" t="s">
        <v>367</v>
      </c>
      <c r="C326" t="s">
        <v>14</v>
      </c>
      <c r="D326">
        <v>1</v>
      </c>
      <c r="E326">
        <v>1000</v>
      </c>
      <c r="F326">
        <v>-7.6E-3</v>
      </c>
      <c r="G326">
        <v>-1.5698E-2</v>
      </c>
      <c r="H326">
        <v>-8.0796400000000008E-3</v>
      </c>
      <c r="I326">
        <v>3.8968999999999997E-2</v>
      </c>
      <c r="J326">
        <v>4.5339999999999998E-2</v>
      </c>
      <c r="K326">
        <v>0.16350511549999999</v>
      </c>
      <c r="L326">
        <v>1.0605970264</v>
      </c>
      <c r="M326">
        <v>0.97199999999999998</v>
      </c>
      <c r="N326">
        <v>0</v>
      </c>
    </row>
    <row r="327" spans="1:14" x14ac:dyDescent="0.25">
      <c r="A327" t="s">
        <v>142</v>
      </c>
      <c r="B327" t="s">
        <v>367</v>
      </c>
      <c r="C327" t="s">
        <v>15</v>
      </c>
      <c r="D327">
        <v>1</v>
      </c>
      <c r="E327">
        <v>1000</v>
      </c>
      <c r="F327">
        <v>-0.4551</v>
      </c>
      <c r="G327">
        <v>-0.48810300000000001</v>
      </c>
      <c r="H327">
        <v>-3.2970721000000001E-2</v>
      </c>
      <c r="I327">
        <v>5.0978000000000002E-2</v>
      </c>
      <c r="J327">
        <v>5.1567000000000002E-2</v>
      </c>
      <c r="K327">
        <v>1.15687868E-2</v>
      </c>
      <c r="L327">
        <v>7.2442124499999996E-2</v>
      </c>
      <c r="M327">
        <v>0.90300000000000002</v>
      </c>
      <c r="N327">
        <v>0</v>
      </c>
    </row>
    <row r="328" spans="1:14" x14ac:dyDescent="0.25">
      <c r="A328" t="s">
        <v>142</v>
      </c>
      <c r="B328" t="s">
        <v>367</v>
      </c>
      <c r="C328" t="s">
        <v>16</v>
      </c>
      <c r="D328">
        <v>1</v>
      </c>
      <c r="E328">
        <v>1000</v>
      </c>
      <c r="F328">
        <v>-8.0399999999999999E-2</v>
      </c>
      <c r="G328">
        <v>-5.8452999999999998E-2</v>
      </c>
      <c r="H328">
        <v>2.1953727999999999E-2</v>
      </c>
      <c r="I328">
        <v>5.1505000000000002E-2</v>
      </c>
      <c r="J328">
        <v>5.6384999999999998E-2</v>
      </c>
      <c r="K328">
        <v>9.4743799099999998E-2</v>
      </c>
      <c r="L328">
        <v>-0.27303412799999999</v>
      </c>
      <c r="M328">
        <v>0.95</v>
      </c>
      <c r="N328">
        <v>0</v>
      </c>
    </row>
    <row r="329" spans="1:14" x14ac:dyDescent="0.25">
      <c r="A329" t="s">
        <v>142</v>
      </c>
      <c r="B329" t="s">
        <v>367</v>
      </c>
      <c r="C329" t="s">
        <v>17</v>
      </c>
      <c r="D329">
        <v>1</v>
      </c>
      <c r="E329">
        <v>1000</v>
      </c>
      <c r="F329">
        <v>-0.1255</v>
      </c>
      <c r="G329">
        <v>-0.12684200000000001</v>
      </c>
      <c r="H329">
        <v>-1.3769609999999999E-3</v>
      </c>
      <c r="I329">
        <v>4.9059999999999998E-3</v>
      </c>
      <c r="J329">
        <v>5.0049999999999999E-3</v>
      </c>
      <c r="K329">
        <v>2.0076424200000002E-2</v>
      </c>
      <c r="L329">
        <v>1.09748854E-2</v>
      </c>
      <c r="M329">
        <v>0.96599999999999997</v>
      </c>
      <c r="N329">
        <v>0</v>
      </c>
    </row>
    <row r="330" spans="1:14" x14ac:dyDescent="0.25">
      <c r="A330" t="s">
        <v>142</v>
      </c>
      <c r="B330" t="s">
        <v>367</v>
      </c>
      <c r="C330" t="s">
        <v>18</v>
      </c>
      <c r="D330">
        <v>1</v>
      </c>
      <c r="E330">
        <v>1000</v>
      </c>
      <c r="F330">
        <v>-1.1999999999999999E-3</v>
      </c>
      <c r="G330">
        <v>-7.4299999999999995E-4</v>
      </c>
      <c r="H330">
        <v>4.4908790000000001E-4</v>
      </c>
      <c r="I330">
        <v>2.3679999999999999E-3</v>
      </c>
      <c r="J330">
        <v>2.594E-3</v>
      </c>
      <c r="K330">
        <v>9.5653749800000007E-2</v>
      </c>
      <c r="L330">
        <v>-0.37663620199999998</v>
      </c>
      <c r="M330">
        <v>0.96199999999999997</v>
      </c>
      <c r="N330">
        <v>0</v>
      </c>
    </row>
    <row r="331" spans="1:14" x14ac:dyDescent="0.25">
      <c r="A331" t="s">
        <v>142</v>
      </c>
      <c r="B331" t="s">
        <v>368</v>
      </c>
      <c r="C331" t="s">
        <v>12</v>
      </c>
      <c r="D331">
        <v>1</v>
      </c>
      <c r="E331">
        <v>1000</v>
      </c>
      <c r="F331">
        <v>3.1539000000000001</v>
      </c>
      <c r="G331">
        <v>3.2774030000000001</v>
      </c>
      <c r="H331">
        <v>0.1235148034</v>
      </c>
      <c r="I331">
        <v>0.20682600000000001</v>
      </c>
      <c r="J331">
        <v>0.214592</v>
      </c>
      <c r="K331">
        <v>3.75460403E-2</v>
      </c>
      <c r="L331">
        <v>3.9162708999999997E-2</v>
      </c>
      <c r="M331">
        <v>0.91600000000000004</v>
      </c>
      <c r="N331">
        <v>0</v>
      </c>
    </row>
    <row r="332" spans="1:14" x14ac:dyDescent="0.25">
      <c r="A332" t="s">
        <v>142</v>
      </c>
      <c r="B332" t="s">
        <v>368</v>
      </c>
      <c r="C332" t="s">
        <v>13</v>
      </c>
      <c r="D332">
        <v>1</v>
      </c>
      <c r="E332">
        <v>1000</v>
      </c>
      <c r="F332">
        <v>-0.434</v>
      </c>
      <c r="G332">
        <v>-0.45634599999999997</v>
      </c>
      <c r="H332">
        <v>-2.2386204E-2</v>
      </c>
      <c r="I332">
        <v>7.3855000000000004E-2</v>
      </c>
      <c r="J332">
        <v>7.6004000000000002E-2</v>
      </c>
      <c r="K332">
        <v>2.9091242699999999E-2</v>
      </c>
      <c r="L332">
        <v>5.1585867200000003E-2</v>
      </c>
      <c r="M332">
        <v>0.94899999999999995</v>
      </c>
      <c r="N332">
        <v>0</v>
      </c>
    </row>
    <row r="333" spans="1:14" x14ac:dyDescent="0.25">
      <c r="A333" t="s">
        <v>142</v>
      </c>
      <c r="B333" t="s">
        <v>368</v>
      </c>
      <c r="C333" t="s">
        <v>14</v>
      </c>
      <c r="D333">
        <v>1</v>
      </c>
      <c r="E333">
        <v>1000</v>
      </c>
      <c r="F333">
        <v>-7.6E-3</v>
      </c>
      <c r="G333">
        <v>-1.5972E-2</v>
      </c>
      <c r="H333">
        <v>-8.3536519999999996E-3</v>
      </c>
      <c r="I333">
        <v>3.9135999999999997E-2</v>
      </c>
      <c r="J333">
        <v>4.5532999999999997E-2</v>
      </c>
      <c r="K333">
        <v>0.1634340772</v>
      </c>
      <c r="L333">
        <v>1.0965660080999999</v>
      </c>
      <c r="M333">
        <v>0.97299999999999998</v>
      </c>
      <c r="N333">
        <v>0</v>
      </c>
    </row>
    <row r="334" spans="1:14" x14ac:dyDescent="0.25">
      <c r="A334" t="s">
        <v>142</v>
      </c>
      <c r="B334" t="s">
        <v>368</v>
      </c>
      <c r="C334" t="s">
        <v>15</v>
      </c>
      <c r="D334">
        <v>1</v>
      </c>
      <c r="E334">
        <v>1000</v>
      </c>
      <c r="F334">
        <v>-0.4551</v>
      </c>
      <c r="G334">
        <v>-0.49082199999999998</v>
      </c>
      <c r="H334">
        <v>-3.5689614000000001E-2</v>
      </c>
      <c r="I334">
        <v>5.0131000000000002E-2</v>
      </c>
      <c r="J334">
        <v>5.0876999999999999E-2</v>
      </c>
      <c r="K334">
        <v>1.48940527E-2</v>
      </c>
      <c r="L334">
        <v>7.8415980699999999E-2</v>
      </c>
      <c r="M334">
        <v>0.89600000000000002</v>
      </c>
      <c r="N334">
        <v>0</v>
      </c>
    </row>
    <row r="335" spans="1:14" x14ac:dyDescent="0.25">
      <c r="A335" t="s">
        <v>142</v>
      </c>
      <c r="B335" t="s">
        <v>368</v>
      </c>
      <c r="C335" t="s">
        <v>16</v>
      </c>
      <c r="D335">
        <v>1</v>
      </c>
      <c r="E335">
        <v>1000</v>
      </c>
      <c r="F335">
        <v>-8.0399999999999999E-2</v>
      </c>
      <c r="G335">
        <v>-5.7480000000000003E-2</v>
      </c>
      <c r="H335">
        <v>2.2926816100000001E-2</v>
      </c>
      <c r="I335">
        <v>5.1802000000000001E-2</v>
      </c>
      <c r="J335">
        <v>5.6741E-2</v>
      </c>
      <c r="K335">
        <v>9.5342475699999998E-2</v>
      </c>
      <c r="L335">
        <v>-0.28513623100000002</v>
      </c>
      <c r="M335">
        <v>0.94699999999999995</v>
      </c>
      <c r="N335">
        <v>0</v>
      </c>
    </row>
    <row r="336" spans="1:14" x14ac:dyDescent="0.25">
      <c r="A336" t="s">
        <v>142</v>
      </c>
      <c r="B336" t="s">
        <v>368</v>
      </c>
      <c r="C336" t="s">
        <v>17</v>
      </c>
      <c r="D336">
        <v>1</v>
      </c>
      <c r="E336">
        <v>1000</v>
      </c>
      <c r="F336">
        <v>-0.1255</v>
      </c>
      <c r="G336">
        <v>-0.12700500000000001</v>
      </c>
      <c r="H336">
        <v>-1.540327E-3</v>
      </c>
      <c r="I336">
        <v>4.8679999999999999E-3</v>
      </c>
      <c r="J336">
        <v>5.0000000000000001E-3</v>
      </c>
      <c r="K336">
        <v>2.70133818E-2</v>
      </c>
      <c r="L336">
        <v>1.22769731E-2</v>
      </c>
      <c r="M336">
        <v>0.95799999999999996</v>
      </c>
      <c r="N336">
        <v>0</v>
      </c>
    </row>
    <row r="337" spans="1:14" x14ac:dyDescent="0.25">
      <c r="A337" t="s">
        <v>142</v>
      </c>
      <c r="B337" t="s">
        <v>368</v>
      </c>
      <c r="C337" t="s">
        <v>18</v>
      </c>
      <c r="D337">
        <v>1</v>
      </c>
      <c r="E337">
        <v>1000</v>
      </c>
      <c r="F337">
        <v>-1.1999999999999999E-3</v>
      </c>
      <c r="G337">
        <v>-9.0600000000000001E-4</v>
      </c>
      <c r="H337">
        <v>2.863912E-4</v>
      </c>
      <c r="I337">
        <v>2.2620000000000001E-3</v>
      </c>
      <c r="J337">
        <v>2.4819999999999998E-3</v>
      </c>
      <c r="K337">
        <v>9.7396457500000005E-2</v>
      </c>
      <c r="L337">
        <v>-0.24018745599999999</v>
      </c>
      <c r="M337">
        <v>0.96699999999999997</v>
      </c>
      <c r="N337">
        <v>0</v>
      </c>
    </row>
    <row r="338" spans="1:14" x14ac:dyDescent="0.25">
      <c r="A338" t="s">
        <v>142</v>
      </c>
      <c r="B338" t="s">
        <v>635</v>
      </c>
      <c r="C338" t="s">
        <v>12</v>
      </c>
      <c r="D338">
        <v>1</v>
      </c>
      <c r="E338">
        <v>929</v>
      </c>
      <c r="F338">
        <v>106.8125</v>
      </c>
      <c r="G338">
        <v>101.433297</v>
      </c>
      <c r="H338">
        <v>-5.3791597480000002</v>
      </c>
      <c r="I338">
        <v>1.550646</v>
      </c>
      <c r="J338">
        <v>1.685708</v>
      </c>
      <c r="K338">
        <v>8.7100531699999997E-2</v>
      </c>
      <c r="L338">
        <v>-5.0360791000000002E-2</v>
      </c>
      <c r="M338">
        <v>9.0419806199999994E-2</v>
      </c>
      <c r="N338">
        <v>0</v>
      </c>
    </row>
    <row r="339" spans="1:14" x14ac:dyDescent="0.25">
      <c r="A339" t="s">
        <v>142</v>
      </c>
      <c r="B339" t="s">
        <v>635</v>
      </c>
      <c r="C339" t="s">
        <v>13</v>
      </c>
      <c r="D339">
        <v>1</v>
      </c>
      <c r="E339">
        <v>929</v>
      </c>
      <c r="F339">
        <v>-4.7992999999999997</v>
      </c>
      <c r="G339">
        <v>-5.0072970000000003</v>
      </c>
      <c r="H339">
        <v>-0.20801554899999999</v>
      </c>
      <c r="I339">
        <v>0.56772299999999998</v>
      </c>
      <c r="J339">
        <v>0.62593900000000002</v>
      </c>
      <c r="K339">
        <v>0.10254330270000001</v>
      </c>
      <c r="L339">
        <v>4.3343057099999999E-2</v>
      </c>
      <c r="M339">
        <v>0.96124865449999997</v>
      </c>
      <c r="N339">
        <v>0</v>
      </c>
    </row>
    <row r="340" spans="1:14" x14ac:dyDescent="0.25">
      <c r="A340" t="s">
        <v>142</v>
      </c>
      <c r="B340" t="s">
        <v>635</v>
      </c>
      <c r="C340" t="s">
        <v>14</v>
      </c>
      <c r="D340">
        <v>1</v>
      </c>
      <c r="E340">
        <v>929</v>
      </c>
      <c r="F340">
        <v>8.7021999999999995</v>
      </c>
      <c r="G340">
        <v>11.691841</v>
      </c>
      <c r="H340">
        <v>2.9896336692999999</v>
      </c>
      <c r="I340">
        <v>0.38044899999999998</v>
      </c>
      <c r="J340">
        <v>0.364981</v>
      </c>
      <c r="K340">
        <v>-4.0658488E-2</v>
      </c>
      <c r="L340">
        <v>0.34354888919999998</v>
      </c>
      <c r="M340">
        <v>0</v>
      </c>
      <c r="N340">
        <v>0</v>
      </c>
    </row>
    <row r="341" spans="1:14" x14ac:dyDescent="0.25">
      <c r="A341" t="s">
        <v>142</v>
      </c>
      <c r="B341" t="s">
        <v>635</v>
      </c>
      <c r="C341" t="s">
        <v>15</v>
      </c>
      <c r="D341">
        <v>1</v>
      </c>
      <c r="E341">
        <v>929</v>
      </c>
      <c r="F341">
        <v>-1.5806</v>
      </c>
      <c r="G341">
        <v>-0.66772399999999998</v>
      </c>
      <c r="H341">
        <v>0.91290195590000001</v>
      </c>
      <c r="I341">
        <v>0.38821499999999998</v>
      </c>
      <c r="J341">
        <v>0.41789500000000002</v>
      </c>
      <c r="K341">
        <v>7.6450477599999997E-2</v>
      </c>
      <c r="L341">
        <v>-0.57755724900000005</v>
      </c>
      <c r="M341">
        <v>0.42518837459999997</v>
      </c>
      <c r="N341">
        <v>0</v>
      </c>
    </row>
    <row r="342" spans="1:14" x14ac:dyDescent="0.25">
      <c r="A342" t="s">
        <v>142</v>
      </c>
      <c r="B342" t="s">
        <v>635</v>
      </c>
      <c r="C342" t="s">
        <v>16</v>
      </c>
      <c r="D342">
        <v>1</v>
      </c>
      <c r="E342">
        <v>929</v>
      </c>
      <c r="F342">
        <v>-7.7763999999999998</v>
      </c>
      <c r="G342">
        <v>-10.396659</v>
      </c>
      <c r="H342">
        <v>-2.6202302720000001</v>
      </c>
      <c r="I342">
        <v>0.43563400000000002</v>
      </c>
      <c r="J342">
        <v>0.44312699999999999</v>
      </c>
      <c r="K342">
        <v>1.7202005499999999E-2</v>
      </c>
      <c r="L342">
        <v>0.33694518140000002</v>
      </c>
      <c r="M342">
        <v>0</v>
      </c>
      <c r="N342">
        <v>0</v>
      </c>
    </row>
    <row r="343" spans="1:14" x14ac:dyDescent="0.25">
      <c r="A343" t="s">
        <v>142</v>
      </c>
      <c r="B343" t="s">
        <v>635</v>
      </c>
      <c r="C343" t="s">
        <v>17</v>
      </c>
      <c r="D343">
        <v>1</v>
      </c>
      <c r="E343">
        <v>929</v>
      </c>
      <c r="F343">
        <v>5.8643999999999998</v>
      </c>
      <c r="G343">
        <v>5.8165069999999996</v>
      </c>
      <c r="H343">
        <v>-4.7904146000000002E-2</v>
      </c>
      <c r="I343">
        <v>2.3619000000000001E-2</v>
      </c>
      <c r="J343">
        <v>2.4813000000000002E-2</v>
      </c>
      <c r="K343">
        <v>5.0518045499999997E-2</v>
      </c>
      <c r="L343">
        <v>-8.1686199999999997E-3</v>
      </c>
      <c r="M343">
        <v>0.51883745960000005</v>
      </c>
      <c r="N343">
        <v>0</v>
      </c>
    </row>
    <row r="344" spans="1:14" x14ac:dyDescent="0.25">
      <c r="A344" t="s">
        <v>142</v>
      </c>
      <c r="B344" t="s">
        <v>635</v>
      </c>
      <c r="C344" t="s">
        <v>18</v>
      </c>
      <c r="D344">
        <v>1</v>
      </c>
      <c r="E344">
        <v>929</v>
      </c>
      <c r="F344">
        <v>3.2099999999999997E-2</v>
      </c>
      <c r="G344">
        <v>3.1512999999999999E-2</v>
      </c>
      <c r="H344">
        <v>-5.9520500000000002E-4</v>
      </c>
      <c r="I344">
        <v>1.4818E-2</v>
      </c>
      <c r="J344">
        <v>1.6981E-2</v>
      </c>
      <c r="K344">
        <v>0.1459154194</v>
      </c>
      <c r="L344">
        <v>-1.8537366E-2</v>
      </c>
      <c r="M344">
        <v>0.98600645860000002</v>
      </c>
      <c r="N344">
        <v>0</v>
      </c>
    </row>
    <row r="345" spans="1:14" x14ac:dyDescent="0.25">
      <c r="A345" t="s">
        <v>142</v>
      </c>
      <c r="B345" t="s">
        <v>636</v>
      </c>
      <c r="C345" t="s">
        <v>12</v>
      </c>
      <c r="D345">
        <v>1</v>
      </c>
      <c r="E345">
        <v>880</v>
      </c>
      <c r="F345">
        <v>3.1539000000000001</v>
      </c>
      <c r="G345">
        <v>3.2630379999999999</v>
      </c>
      <c r="H345">
        <v>0.1091494947</v>
      </c>
      <c r="I345">
        <v>0.208569</v>
      </c>
      <c r="J345">
        <v>0.21493499999999999</v>
      </c>
      <c r="K345">
        <v>3.05246448E-2</v>
      </c>
      <c r="L345">
        <v>3.4607915699999998E-2</v>
      </c>
      <c r="M345">
        <v>0.92500000000000004</v>
      </c>
      <c r="N345">
        <v>0</v>
      </c>
    </row>
    <row r="346" spans="1:14" x14ac:dyDescent="0.25">
      <c r="A346" t="s">
        <v>142</v>
      </c>
      <c r="B346" t="s">
        <v>636</v>
      </c>
      <c r="C346" t="s">
        <v>13</v>
      </c>
      <c r="D346">
        <v>1</v>
      </c>
      <c r="E346">
        <v>880</v>
      </c>
      <c r="F346">
        <v>-0.434</v>
      </c>
      <c r="G346">
        <v>-0.45508900000000002</v>
      </c>
      <c r="H346">
        <v>-2.1129081000000001E-2</v>
      </c>
      <c r="I346">
        <v>7.4403999999999998E-2</v>
      </c>
      <c r="J346">
        <v>7.6574000000000003E-2</v>
      </c>
      <c r="K346">
        <v>2.9167425E-2</v>
      </c>
      <c r="L346">
        <v>4.86890029E-2</v>
      </c>
      <c r="M346">
        <v>0.94772727270000001</v>
      </c>
      <c r="N346">
        <v>0</v>
      </c>
    </row>
    <row r="347" spans="1:14" x14ac:dyDescent="0.25">
      <c r="A347" t="s">
        <v>142</v>
      </c>
      <c r="B347" t="s">
        <v>636</v>
      </c>
      <c r="C347" t="s">
        <v>14</v>
      </c>
      <c r="D347">
        <v>1</v>
      </c>
      <c r="E347">
        <v>880</v>
      </c>
      <c r="F347">
        <v>-7.6E-3</v>
      </c>
      <c r="G347">
        <v>-1.6574999999999999E-2</v>
      </c>
      <c r="H347">
        <v>-8.9574149999999998E-3</v>
      </c>
      <c r="I347">
        <v>3.8827E-2</v>
      </c>
      <c r="J347">
        <v>4.5296000000000003E-2</v>
      </c>
      <c r="K347">
        <v>0.1666127503</v>
      </c>
      <c r="L347">
        <v>1.1758206683000001</v>
      </c>
      <c r="M347">
        <v>0.9761363636</v>
      </c>
      <c r="N347">
        <v>0</v>
      </c>
    </row>
    <row r="348" spans="1:14" x14ac:dyDescent="0.25">
      <c r="A348" t="s">
        <v>142</v>
      </c>
      <c r="B348" t="s">
        <v>636</v>
      </c>
      <c r="C348" t="s">
        <v>15</v>
      </c>
      <c r="D348">
        <v>1</v>
      </c>
      <c r="E348">
        <v>880</v>
      </c>
      <c r="F348">
        <v>-0.4551</v>
      </c>
      <c r="G348">
        <v>-0.49199900000000002</v>
      </c>
      <c r="H348">
        <v>-3.6866640999999999E-2</v>
      </c>
      <c r="I348">
        <v>5.0812000000000003E-2</v>
      </c>
      <c r="J348">
        <v>5.1672999999999997E-2</v>
      </c>
      <c r="K348">
        <v>1.6953756100000002E-2</v>
      </c>
      <c r="L348">
        <v>8.1002103800000003E-2</v>
      </c>
      <c r="M348">
        <v>0.89090909090000003</v>
      </c>
      <c r="N348">
        <v>0</v>
      </c>
    </row>
    <row r="349" spans="1:14" x14ac:dyDescent="0.25">
      <c r="A349" t="s">
        <v>142</v>
      </c>
      <c r="B349" t="s">
        <v>636</v>
      </c>
      <c r="C349" t="s">
        <v>16</v>
      </c>
      <c r="D349">
        <v>1</v>
      </c>
      <c r="E349">
        <v>880</v>
      </c>
      <c r="F349">
        <v>-8.0399999999999999E-2</v>
      </c>
      <c r="G349">
        <v>-5.8507999999999998E-2</v>
      </c>
      <c r="H349">
        <v>2.1898200699999999E-2</v>
      </c>
      <c r="I349">
        <v>5.2026999999999997E-2</v>
      </c>
      <c r="J349">
        <v>5.6408E-2</v>
      </c>
      <c r="K349">
        <v>8.4205221499999997E-2</v>
      </c>
      <c r="L349">
        <v>-0.27234354599999999</v>
      </c>
      <c r="M349">
        <v>0.94886363640000004</v>
      </c>
      <c r="N349">
        <v>0</v>
      </c>
    </row>
    <row r="350" spans="1:14" x14ac:dyDescent="0.25">
      <c r="A350" t="s">
        <v>142</v>
      </c>
      <c r="B350" t="s">
        <v>636</v>
      </c>
      <c r="C350" t="s">
        <v>17</v>
      </c>
      <c r="D350">
        <v>1</v>
      </c>
      <c r="E350">
        <v>880</v>
      </c>
      <c r="F350">
        <v>-0.1255</v>
      </c>
      <c r="G350">
        <v>-0.126522</v>
      </c>
      <c r="H350">
        <v>-1.0569329999999999E-3</v>
      </c>
      <c r="I350">
        <v>4.8679999999999999E-3</v>
      </c>
      <c r="J350">
        <v>5.0010000000000002E-3</v>
      </c>
      <c r="K350">
        <v>2.74163441E-2</v>
      </c>
      <c r="L350">
        <v>8.4241465999999997E-3</v>
      </c>
      <c r="M350">
        <v>0.97272727270000003</v>
      </c>
      <c r="N350">
        <v>0</v>
      </c>
    </row>
    <row r="351" spans="1:14" x14ac:dyDescent="0.25">
      <c r="A351" t="s">
        <v>142</v>
      </c>
      <c r="B351" t="s">
        <v>636</v>
      </c>
      <c r="C351" t="s">
        <v>18</v>
      </c>
      <c r="D351">
        <v>1</v>
      </c>
      <c r="E351">
        <v>880</v>
      </c>
      <c r="F351">
        <v>-1.1999999999999999E-3</v>
      </c>
      <c r="G351">
        <v>-6.4400000000000004E-4</v>
      </c>
      <c r="H351">
        <v>5.4817440000000004E-4</v>
      </c>
      <c r="I351">
        <v>2.4009999999999999E-3</v>
      </c>
      <c r="J351">
        <v>2.6099999999999999E-3</v>
      </c>
      <c r="K351">
        <v>8.7264345600000001E-2</v>
      </c>
      <c r="L351">
        <v>-0.45973698899999998</v>
      </c>
      <c r="M351">
        <v>0.96250000000000002</v>
      </c>
      <c r="N351">
        <v>0</v>
      </c>
    </row>
    <row r="352" spans="1:14" x14ac:dyDescent="0.25">
      <c r="A352" t="s">
        <v>142</v>
      </c>
      <c r="B352" t="s">
        <v>174</v>
      </c>
      <c r="C352" t="s">
        <v>12</v>
      </c>
      <c r="D352">
        <v>1</v>
      </c>
      <c r="E352">
        <v>1000</v>
      </c>
      <c r="F352">
        <v>106.8125</v>
      </c>
      <c r="G352">
        <v>107.07843699999999</v>
      </c>
      <c r="H352">
        <v>0.2659803697</v>
      </c>
      <c r="I352">
        <v>2.0980020000000001</v>
      </c>
      <c r="J352">
        <v>2.0547939999999998</v>
      </c>
      <c r="K352">
        <v>-2.0594628E-2</v>
      </c>
      <c r="L352">
        <v>2.4901624999999999E-3</v>
      </c>
      <c r="M352">
        <v>0.93500000000000005</v>
      </c>
      <c r="N352">
        <v>1</v>
      </c>
    </row>
    <row r="353" spans="1:14" x14ac:dyDescent="0.25">
      <c r="A353" t="s">
        <v>142</v>
      </c>
      <c r="B353" t="s">
        <v>174</v>
      </c>
      <c r="C353" t="s">
        <v>13</v>
      </c>
      <c r="D353">
        <v>1</v>
      </c>
      <c r="E353">
        <v>1000</v>
      </c>
      <c r="F353">
        <v>-4.7992999999999997</v>
      </c>
      <c r="G353">
        <v>-4.7748020000000002</v>
      </c>
      <c r="H353">
        <v>2.4479894299999999E-2</v>
      </c>
      <c r="I353">
        <v>0.76163000000000003</v>
      </c>
      <c r="J353">
        <v>0.75766</v>
      </c>
      <c r="K353">
        <v>-5.2133450000000003E-3</v>
      </c>
      <c r="L353">
        <v>-5.1007409999999998E-3</v>
      </c>
      <c r="M353">
        <v>0.95</v>
      </c>
      <c r="N353">
        <v>1</v>
      </c>
    </row>
    <row r="354" spans="1:14" x14ac:dyDescent="0.25">
      <c r="A354" t="s">
        <v>142</v>
      </c>
      <c r="B354" t="s">
        <v>174</v>
      </c>
      <c r="C354" t="s">
        <v>14</v>
      </c>
      <c r="D354">
        <v>1</v>
      </c>
      <c r="E354">
        <v>1000</v>
      </c>
      <c r="F354">
        <v>8.7021999999999995</v>
      </c>
      <c r="G354">
        <v>9.1287800000000008</v>
      </c>
      <c r="H354">
        <v>0.4265727829</v>
      </c>
      <c r="I354">
        <v>0.43514999999999998</v>
      </c>
      <c r="J354">
        <v>0.42569000000000001</v>
      </c>
      <c r="K354">
        <v>-2.1740353E-2</v>
      </c>
      <c r="L354">
        <v>4.9018917400000001E-2</v>
      </c>
      <c r="M354">
        <v>0.83699999999999997</v>
      </c>
      <c r="N354">
        <v>1</v>
      </c>
    </row>
    <row r="355" spans="1:14" x14ac:dyDescent="0.25">
      <c r="A355" t="s">
        <v>142</v>
      </c>
      <c r="B355" t="s">
        <v>174</v>
      </c>
      <c r="C355" t="s">
        <v>15</v>
      </c>
      <c r="D355">
        <v>1</v>
      </c>
      <c r="E355">
        <v>1000</v>
      </c>
      <c r="F355">
        <v>-1.5806</v>
      </c>
      <c r="G355">
        <v>-1.6856640000000001</v>
      </c>
      <c r="H355">
        <v>-0.105038334</v>
      </c>
      <c r="I355">
        <v>0.51622999999999997</v>
      </c>
      <c r="J355">
        <v>0.51003600000000004</v>
      </c>
      <c r="K355">
        <v>-1.1996878000000001E-2</v>
      </c>
      <c r="L355">
        <v>6.6453632600000007E-2</v>
      </c>
      <c r="M355">
        <v>0.93400000000000005</v>
      </c>
      <c r="N355">
        <v>0.90600000000000003</v>
      </c>
    </row>
    <row r="356" spans="1:14" x14ac:dyDescent="0.25">
      <c r="A356" t="s">
        <v>142</v>
      </c>
      <c r="B356" t="s">
        <v>174</v>
      </c>
      <c r="C356" t="s">
        <v>16</v>
      </c>
      <c r="D356">
        <v>1</v>
      </c>
      <c r="E356">
        <v>1000</v>
      </c>
      <c r="F356">
        <v>-7.7763999999999998</v>
      </c>
      <c r="G356">
        <v>-8.2180099999999996</v>
      </c>
      <c r="H356">
        <v>-0.44158113300000001</v>
      </c>
      <c r="I356">
        <v>0.52278500000000006</v>
      </c>
      <c r="J356">
        <v>0.52986200000000006</v>
      </c>
      <c r="K356">
        <v>1.3536804499999999E-2</v>
      </c>
      <c r="L356">
        <v>5.6784564500000002E-2</v>
      </c>
      <c r="M356">
        <v>0.87</v>
      </c>
      <c r="N356">
        <v>1</v>
      </c>
    </row>
    <row r="357" spans="1:14" x14ac:dyDescent="0.25">
      <c r="A357" t="s">
        <v>142</v>
      </c>
      <c r="B357" t="s">
        <v>174</v>
      </c>
      <c r="C357" t="s">
        <v>17</v>
      </c>
      <c r="D357">
        <v>1</v>
      </c>
      <c r="E357">
        <v>1000</v>
      </c>
      <c r="F357">
        <v>5.8643999999999998</v>
      </c>
      <c r="G357">
        <v>5.8801889999999997</v>
      </c>
      <c r="H357">
        <v>1.57778755E-2</v>
      </c>
      <c r="I357">
        <v>3.5276000000000002E-2</v>
      </c>
      <c r="J357">
        <v>3.6304000000000003E-2</v>
      </c>
      <c r="K357">
        <v>2.9136636E-2</v>
      </c>
      <c r="L357">
        <v>2.6904452000000001E-3</v>
      </c>
      <c r="M357">
        <v>0.93400000000000005</v>
      </c>
      <c r="N357">
        <v>1</v>
      </c>
    </row>
    <row r="358" spans="1:14" x14ac:dyDescent="0.25">
      <c r="A358" t="s">
        <v>142</v>
      </c>
      <c r="B358" t="s">
        <v>174</v>
      </c>
      <c r="C358" t="s">
        <v>18</v>
      </c>
      <c r="D358">
        <v>1</v>
      </c>
      <c r="E358">
        <v>1000</v>
      </c>
      <c r="F358">
        <v>3.2099999999999997E-2</v>
      </c>
      <c r="G358">
        <v>3.7423999999999999E-2</v>
      </c>
      <c r="H358">
        <v>5.3151107999999999E-3</v>
      </c>
      <c r="I358">
        <v>2.1876E-2</v>
      </c>
      <c r="J358">
        <v>2.1207E-2</v>
      </c>
      <c r="K358">
        <v>-3.0597510000000001E-2</v>
      </c>
      <c r="L358">
        <v>0.16553649840000001</v>
      </c>
      <c r="M358">
        <v>0.92400000000000004</v>
      </c>
      <c r="N358">
        <v>0.44</v>
      </c>
    </row>
    <row r="359" spans="1:14" x14ac:dyDescent="0.25">
      <c r="A359" t="s">
        <v>142</v>
      </c>
      <c r="B359" t="s">
        <v>175</v>
      </c>
      <c r="C359" t="s">
        <v>12</v>
      </c>
      <c r="D359">
        <v>1</v>
      </c>
      <c r="E359">
        <v>1000</v>
      </c>
      <c r="F359">
        <v>106.8125</v>
      </c>
      <c r="G359">
        <v>106.137079</v>
      </c>
      <c r="H359">
        <v>-0.675377322</v>
      </c>
      <c r="I359">
        <v>2.0536120000000002</v>
      </c>
      <c r="J359">
        <v>2.0170499999999998</v>
      </c>
      <c r="K359">
        <v>-1.7803797999999999E-2</v>
      </c>
      <c r="L359">
        <v>-6.3230200000000004E-3</v>
      </c>
      <c r="M359">
        <v>0.93600000000000005</v>
      </c>
      <c r="N359">
        <v>1</v>
      </c>
    </row>
    <row r="360" spans="1:14" x14ac:dyDescent="0.25">
      <c r="A360" t="s">
        <v>142</v>
      </c>
      <c r="B360" t="s">
        <v>175</v>
      </c>
      <c r="C360" t="s">
        <v>13</v>
      </c>
      <c r="D360">
        <v>1</v>
      </c>
      <c r="E360">
        <v>1000</v>
      </c>
      <c r="F360">
        <v>-4.7992999999999997</v>
      </c>
      <c r="G360">
        <v>-4.1082000000000001</v>
      </c>
      <c r="H360">
        <v>0.6910823425</v>
      </c>
      <c r="I360">
        <v>0.74412400000000001</v>
      </c>
      <c r="J360">
        <v>0.74588500000000002</v>
      </c>
      <c r="K360">
        <v>2.3666047999999999E-3</v>
      </c>
      <c r="L360">
        <v>-0.143997031</v>
      </c>
      <c r="M360">
        <v>0.84299999999999997</v>
      </c>
      <c r="N360">
        <v>1</v>
      </c>
    </row>
    <row r="361" spans="1:14" x14ac:dyDescent="0.25">
      <c r="A361" t="s">
        <v>142</v>
      </c>
      <c r="B361" t="s">
        <v>175</v>
      </c>
      <c r="C361" t="s">
        <v>14</v>
      </c>
      <c r="D361">
        <v>1</v>
      </c>
      <c r="E361">
        <v>1000</v>
      </c>
      <c r="F361">
        <v>8.7021999999999995</v>
      </c>
      <c r="G361">
        <v>9.0710820000000005</v>
      </c>
      <c r="H361">
        <v>0.36887422990000002</v>
      </c>
      <c r="I361">
        <v>0.40449000000000002</v>
      </c>
      <c r="J361">
        <v>0.41888500000000001</v>
      </c>
      <c r="K361">
        <v>3.5586485600000002E-2</v>
      </c>
      <c r="L361">
        <v>4.2388582000000001E-2</v>
      </c>
      <c r="M361">
        <v>0.85499999999999998</v>
      </c>
      <c r="N361">
        <v>1</v>
      </c>
    </row>
    <row r="362" spans="1:14" x14ac:dyDescent="0.25">
      <c r="A362" t="s">
        <v>142</v>
      </c>
      <c r="B362" t="s">
        <v>175</v>
      </c>
      <c r="C362" t="s">
        <v>15</v>
      </c>
      <c r="D362">
        <v>1</v>
      </c>
      <c r="E362">
        <v>1000</v>
      </c>
      <c r="F362">
        <v>-1.5806</v>
      </c>
      <c r="G362">
        <v>-1.7181850000000001</v>
      </c>
      <c r="H362">
        <v>-0.13755904199999999</v>
      </c>
      <c r="I362">
        <v>0.50456100000000004</v>
      </c>
      <c r="J362">
        <v>0.50003399999999998</v>
      </c>
      <c r="K362">
        <v>-8.9729470000000002E-3</v>
      </c>
      <c r="L362">
        <v>8.7028208499999996E-2</v>
      </c>
      <c r="M362">
        <v>0.94</v>
      </c>
      <c r="N362">
        <v>0.92200000000000004</v>
      </c>
    </row>
    <row r="363" spans="1:14" x14ac:dyDescent="0.25">
      <c r="A363" t="s">
        <v>142</v>
      </c>
      <c r="B363" t="s">
        <v>175</v>
      </c>
      <c r="C363" t="s">
        <v>16</v>
      </c>
      <c r="D363">
        <v>1</v>
      </c>
      <c r="E363">
        <v>1000</v>
      </c>
      <c r="F363">
        <v>-7.7763999999999998</v>
      </c>
      <c r="G363">
        <v>-8.2365770000000005</v>
      </c>
      <c r="H363">
        <v>-0.46014832</v>
      </c>
      <c r="I363">
        <v>0.517065</v>
      </c>
      <c r="J363">
        <v>0.529864</v>
      </c>
      <c r="K363">
        <v>2.4752949199999999E-2</v>
      </c>
      <c r="L363">
        <v>5.9172188299999998E-2</v>
      </c>
      <c r="M363">
        <v>0.86699999999999999</v>
      </c>
      <c r="N363">
        <v>1</v>
      </c>
    </row>
    <row r="364" spans="1:14" x14ac:dyDescent="0.25">
      <c r="A364" t="s">
        <v>142</v>
      </c>
      <c r="B364" t="s">
        <v>175</v>
      </c>
      <c r="C364" t="s">
        <v>17</v>
      </c>
      <c r="D364">
        <v>1</v>
      </c>
      <c r="E364">
        <v>1000</v>
      </c>
      <c r="F364">
        <v>5.8643999999999998</v>
      </c>
      <c r="G364">
        <v>5.8213840000000001</v>
      </c>
      <c r="H364">
        <v>-4.3027182999999997E-2</v>
      </c>
      <c r="I364">
        <v>3.3343999999999999E-2</v>
      </c>
      <c r="J364">
        <v>3.5776000000000002E-2</v>
      </c>
      <c r="K364">
        <v>7.2948379800000004E-2</v>
      </c>
      <c r="L364">
        <v>-7.3369999999999998E-3</v>
      </c>
      <c r="M364">
        <v>0.78300000000000003</v>
      </c>
      <c r="N364">
        <v>1</v>
      </c>
    </row>
    <row r="365" spans="1:14" x14ac:dyDescent="0.25">
      <c r="A365" t="s">
        <v>142</v>
      </c>
      <c r="B365" t="s">
        <v>175</v>
      </c>
      <c r="C365" t="s">
        <v>18</v>
      </c>
      <c r="D365">
        <v>1</v>
      </c>
      <c r="E365">
        <v>1000</v>
      </c>
      <c r="F365">
        <v>3.2099999999999997E-2</v>
      </c>
      <c r="G365">
        <v>4.1709999999999997E-2</v>
      </c>
      <c r="H365">
        <v>9.6014888999999999E-3</v>
      </c>
      <c r="I365">
        <v>2.1267999999999999E-2</v>
      </c>
      <c r="J365">
        <v>2.0858999999999999E-2</v>
      </c>
      <c r="K365">
        <v>-1.922194E-2</v>
      </c>
      <c r="L365">
        <v>0.29903362319999999</v>
      </c>
      <c r="M365">
        <v>0.91700000000000004</v>
      </c>
      <c r="N365">
        <v>0.54400000000000004</v>
      </c>
    </row>
    <row r="366" spans="1:14" x14ac:dyDescent="0.25">
      <c r="A366" t="s">
        <v>142</v>
      </c>
      <c r="B366" t="s">
        <v>369</v>
      </c>
      <c r="C366" t="s">
        <v>12</v>
      </c>
      <c r="D366">
        <v>1</v>
      </c>
      <c r="E366">
        <v>1000</v>
      </c>
      <c r="F366">
        <v>106.8125</v>
      </c>
      <c r="G366">
        <v>105.60812799999999</v>
      </c>
      <c r="H366">
        <v>-1.2043287469999999</v>
      </c>
      <c r="I366">
        <v>1.7068449999999999</v>
      </c>
      <c r="J366">
        <v>1.7930189999999999</v>
      </c>
      <c r="K366">
        <v>5.04873219E-2</v>
      </c>
      <c r="L366">
        <v>-1.1275171E-2</v>
      </c>
      <c r="M366">
        <v>0.89900000000000002</v>
      </c>
      <c r="N366">
        <v>1</v>
      </c>
    </row>
    <row r="367" spans="1:14" x14ac:dyDescent="0.25">
      <c r="A367" t="s">
        <v>142</v>
      </c>
      <c r="B367" t="s">
        <v>369</v>
      </c>
      <c r="C367" t="s">
        <v>13</v>
      </c>
      <c r="D367">
        <v>1</v>
      </c>
      <c r="E367">
        <v>1000</v>
      </c>
      <c r="F367">
        <v>-4.7992999999999997</v>
      </c>
      <c r="G367">
        <v>-4.9154780000000002</v>
      </c>
      <c r="H367">
        <v>-0.116195776</v>
      </c>
      <c r="I367">
        <v>0.64168199999999997</v>
      </c>
      <c r="J367">
        <v>0.65268999999999999</v>
      </c>
      <c r="K367">
        <v>1.7155842800000001E-2</v>
      </c>
      <c r="L367">
        <v>2.4211075499999998E-2</v>
      </c>
      <c r="M367">
        <v>0.94899999999999995</v>
      </c>
      <c r="N367">
        <v>1</v>
      </c>
    </row>
    <row r="368" spans="1:14" x14ac:dyDescent="0.25">
      <c r="A368" t="s">
        <v>142</v>
      </c>
      <c r="B368" t="s">
        <v>369</v>
      </c>
      <c r="C368" t="s">
        <v>14</v>
      </c>
      <c r="D368">
        <v>1</v>
      </c>
      <c r="E368">
        <v>1000</v>
      </c>
      <c r="F368">
        <v>8.7021999999999995</v>
      </c>
      <c r="G368">
        <v>9.1851190000000003</v>
      </c>
      <c r="H368">
        <v>0.48291187229999999</v>
      </c>
      <c r="I368">
        <v>0.38634000000000002</v>
      </c>
      <c r="J368">
        <v>0.38352199999999997</v>
      </c>
      <c r="K368">
        <v>-7.2931009999999998E-3</v>
      </c>
      <c r="L368">
        <v>5.54930322E-2</v>
      </c>
      <c r="M368">
        <v>0.751</v>
      </c>
      <c r="N368">
        <v>1</v>
      </c>
    </row>
    <row r="369" spans="1:14" x14ac:dyDescent="0.25">
      <c r="A369" t="s">
        <v>142</v>
      </c>
      <c r="B369" t="s">
        <v>369</v>
      </c>
      <c r="C369" t="s">
        <v>15</v>
      </c>
      <c r="D369">
        <v>1</v>
      </c>
      <c r="E369">
        <v>1000</v>
      </c>
      <c r="F369">
        <v>-1.5806</v>
      </c>
      <c r="G369">
        <v>-1.4457100000000001</v>
      </c>
      <c r="H369">
        <v>0.13491629829999999</v>
      </c>
      <c r="I369">
        <v>0.413912</v>
      </c>
      <c r="J369">
        <v>0.43851800000000002</v>
      </c>
      <c r="K369">
        <v>5.94487026E-2</v>
      </c>
      <c r="L369">
        <v>-8.5356247999999996E-2</v>
      </c>
      <c r="M369">
        <v>0.95599999999999996</v>
      </c>
      <c r="N369">
        <v>0.91100000000000003</v>
      </c>
    </row>
    <row r="370" spans="1:14" x14ac:dyDescent="0.25">
      <c r="A370" t="s">
        <v>142</v>
      </c>
      <c r="B370" t="s">
        <v>369</v>
      </c>
      <c r="C370" t="s">
        <v>16</v>
      </c>
      <c r="D370">
        <v>1</v>
      </c>
      <c r="E370">
        <v>1000</v>
      </c>
      <c r="F370">
        <v>-7.7763999999999998</v>
      </c>
      <c r="G370">
        <v>-8.2729060000000008</v>
      </c>
      <c r="H370">
        <v>-0.496477155</v>
      </c>
      <c r="I370">
        <v>0.475186</v>
      </c>
      <c r="J370">
        <v>0.47700900000000002</v>
      </c>
      <c r="K370">
        <v>3.8360770999999998E-3</v>
      </c>
      <c r="L370">
        <v>6.3843848699999997E-2</v>
      </c>
      <c r="M370">
        <v>0.82399999999999995</v>
      </c>
      <c r="N370">
        <v>1</v>
      </c>
    </row>
    <row r="371" spans="1:14" x14ac:dyDescent="0.25">
      <c r="A371" t="s">
        <v>142</v>
      </c>
      <c r="B371" t="s">
        <v>369</v>
      </c>
      <c r="C371" t="s">
        <v>17</v>
      </c>
      <c r="D371">
        <v>1</v>
      </c>
      <c r="E371">
        <v>1000</v>
      </c>
      <c r="F371">
        <v>5.8643999999999998</v>
      </c>
      <c r="G371">
        <v>5.8679059999999996</v>
      </c>
      <c r="H371">
        <v>3.4949355E-3</v>
      </c>
      <c r="I371">
        <v>2.7945000000000001E-2</v>
      </c>
      <c r="J371">
        <v>3.0284999999999999E-2</v>
      </c>
      <c r="K371">
        <v>8.3748182300000001E-2</v>
      </c>
      <c r="L371">
        <v>5.9595679999999997E-4</v>
      </c>
      <c r="M371">
        <v>0.96899999999999997</v>
      </c>
      <c r="N371">
        <v>1</v>
      </c>
    </row>
    <row r="372" spans="1:14" x14ac:dyDescent="0.25">
      <c r="A372" t="s">
        <v>142</v>
      </c>
      <c r="B372" t="s">
        <v>369</v>
      </c>
      <c r="C372" t="s">
        <v>18</v>
      </c>
      <c r="D372">
        <v>1</v>
      </c>
      <c r="E372">
        <v>1000</v>
      </c>
      <c r="F372">
        <v>3.2099999999999997E-2</v>
      </c>
      <c r="G372">
        <v>3.7501E-2</v>
      </c>
      <c r="H372">
        <v>5.3926139E-3</v>
      </c>
      <c r="I372">
        <v>1.7912000000000001E-2</v>
      </c>
      <c r="J372">
        <v>1.8099000000000001E-2</v>
      </c>
      <c r="K372">
        <v>1.04220298E-2</v>
      </c>
      <c r="L372">
        <v>0.1679502933</v>
      </c>
      <c r="M372">
        <v>0.93600000000000005</v>
      </c>
      <c r="N372">
        <v>0.53600000000000003</v>
      </c>
    </row>
    <row r="373" spans="1:14" x14ac:dyDescent="0.25">
      <c r="A373" t="s">
        <v>142</v>
      </c>
      <c r="B373" t="s">
        <v>370</v>
      </c>
      <c r="C373" t="s">
        <v>12</v>
      </c>
      <c r="D373">
        <v>1</v>
      </c>
      <c r="E373">
        <v>1000</v>
      </c>
      <c r="F373">
        <v>106.8125</v>
      </c>
      <c r="G373">
        <v>105.628422</v>
      </c>
      <c r="H373">
        <v>-1.1840340490000001</v>
      </c>
      <c r="I373">
        <v>1.74936</v>
      </c>
      <c r="J373">
        <v>1.818271</v>
      </c>
      <c r="K373">
        <v>3.93924275E-2</v>
      </c>
      <c r="L373">
        <v>-1.1085167999999999E-2</v>
      </c>
      <c r="M373">
        <v>0.89600000000000002</v>
      </c>
      <c r="N373">
        <v>1</v>
      </c>
    </row>
    <row r="374" spans="1:14" x14ac:dyDescent="0.25">
      <c r="A374" t="s">
        <v>142</v>
      </c>
      <c r="B374" t="s">
        <v>370</v>
      </c>
      <c r="C374" t="s">
        <v>13</v>
      </c>
      <c r="D374">
        <v>1</v>
      </c>
      <c r="E374">
        <v>1000</v>
      </c>
      <c r="F374">
        <v>-4.7992999999999997</v>
      </c>
      <c r="G374">
        <v>-4.9061360000000001</v>
      </c>
      <c r="H374">
        <v>-0.106854069</v>
      </c>
      <c r="I374">
        <v>0.65059599999999995</v>
      </c>
      <c r="J374">
        <v>0.65940100000000001</v>
      </c>
      <c r="K374">
        <v>1.35337419E-2</v>
      </c>
      <c r="L374">
        <v>2.2264595200000001E-2</v>
      </c>
      <c r="M374">
        <v>0.95199999999999996</v>
      </c>
      <c r="N374">
        <v>1</v>
      </c>
    </row>
    <row r="375" spans="1:14" x14ac:dyDescent="0.25">
      <c r="A375" t="s">
        <v>142</v>
      </c>
      <c r="B375" t="s">
        <v>370</v>
      </c>
      <c r="C375" t="s">
        <v>14</v>
      </c>
      <c r="D375">
        <v>1</v>
      </c>
      <c r="E375">
        <v>1000</v>
      </c>
      <c r="F375">
        <v>8.7021999999999995</v>
      </c>
      <c r="G375">
        <v>9.1816429999999993</v>
      </c>
      <c r="H375">
        <v>0.47943572330000001</v>
      </c>
      <c r="I375">
        <v>0.37476100000000001</v>
      </c>
      <c r="J375">
        <v>0.38675900000000002</v>
      </c>
      <c r="K375">
        <v>3.2015060400000003E-2</v>
      </c>
      <c r="L375">
        <v>5.50935761E-2</v>
      </c>
      <c r="M375">
        <v>0.77100000000000002</v>
      </c>
      <c r="N375">
        <v>1</v>
      </c>
    </row>
    <row r="376" spans="1:14" x14ac:dyDescent="0.25">
      <c r="A376" t="s">
        <v>142</v>
      </c>
      <c r="B376" t="s">
        <v>370</v>
      </c>
      <c r="C376" t="s">
        <v>15</v>
      </c>
      <c r="D376">
        <v>1</v>
      </c>
      <c r="E376">
        <v>1000</v>
      </c>
      <c r="F376">
        <v>-1.5806</v>
      </c>
      <c r="G376">
        <v>-1.456915</v>
      </c>
      <c r="H376">
        <v>0.1237105214</v>
      </c>
      <c r="I376">
        <v>0.42584899999999998</v>
      </c>
      <c r="J376">
        <v>0.444465</v>
      </c>
      <c r="K376">
        <v>4.3714660699999998E-2</v>
      </c>
      <c r="L376">
        <v>-7.8266793000000001E-2</v>
      </c>
      <c r="M376">
        <v>0.95699999999999996</v>
      </c>
      <c r="N376">
        <v>0.90500000000000003</v>
      </c>
    </row>
    <row r="377" spans="1:14" x14ac:dyDescent="0.25">
      <c r="A377" t="s">
        <v>142</v>
      </c>
      <c r="B377" t="s">
        <v>370</v>
      </c>
      <c r="C377" t="s">
        <v>16</v>
      </c>
      <c r="D377">
        <v>1</v>
      </c>
      <c r="E377">
        <v>1000</v>
      </c>
      <c r="F377">
        <v>-7.7763999999999998</v>
      </c>
      <c r="G377">
        <v>-8.2722949999999997</v>
      </c>
      <c r="H377">
        <v>-0.495865738</v>
      </c>
      <c r="I377">
        <v>0.47483700000000001</v>
      </c>
      <c r="J377">
        <v>0.48094399999999998</v>
      </c>
      <c r="K377">
        <v>1.28611035E-2</v>
      </c>
      <c r="L377">
        <v>6.3765224400000001E-2</v>
      </c>
      <c r="M377">
        <v>0.82899999999999996</v>
      </c>
      <c r="N377">
        <v>1</v>
      </c>
    </row>
    <row r="378" spans="1:14" x14ac:dyDescent="0.25">
      <c r="A378" t="s">
        <v>142</v>
      </c>
      <c r="B378" t="s">
        <v>370</v>
      </c>
      <c r="C378" t="s">
        <v>17</v>
      </c>
      <c r="D378">
        <v>1</v>
      </c>
      <c r="E378">
        <v>1000</v>
      </c>
      <c r="F378">
        <v>5.8643999999999998</v>
      </c>
      <c r="G378">
        <v>5.8647210000000003</v>
      </c>
      <c r="H378">
        <v>3.1064619999999999E-4</v>
      </c>
      <c r="I378">
        <v>2.7569E-2</v>
      </c>
      <c r="J378">
        <v>3.0540000000000001E-2</v>
      </c>
      <c r="K378">
        <v>0.10777437870000001</v>
      </c>
      <c r="L378">
        <v>5.2971399999999999E-5</v>
      </c>
      <c r="M378">
        <v>0.97099999999999997</v>
      </c>
      <c r="N378">
        <v>1</v>
      </c>
    </row>
    <row r="379" spans="1:14" x14ac:dyDescent="0.25">
      <c r="A379" t="s">
        <v>142</v>
      </c>
      <c r="B379" t="s">
        <v>370</v>
      </c>
      <c r="C379" t="s">
        <v>18</v>
      </c>
      <c r="D379">
        <v>1</v>
      </c>
      <c r="E379">
        <v>1000</v>
      </c>
      <c r="F379">
        <v>3.2099999999999997E-2</v>
      </c>
      <c r="G379">
        <v>3.7449999999999997E-2</v>
      </c>
      <c r="H379">
        <v>5.3414048000000004E-3</v>
      </c>
      <c r="I379">
        <v>1.8180000000000002E-2</v>
      </c>
      <c r="J379">
        <v>1.83E-2</v>
      </c>
      <c r="K379">
        <v>6.6341129E-3</v>
      </c>
      <c r="L379">
        <v>0.1663554122</v>
      </c>
      <c r="M379">
        <v>0.93700000000000006</v>
      </c>
      <c r="N379">
        <v>0.53100000000000003</v>
      </c>
    </row>
    <row r="380" spans="1:14" x14ac:dyDescent="0.25">
      <c r="A380" t="s">
        <v>142</v>
      </c>
      <c r="B380" t="s">
        <v>371</v>
      </c>
      <c r="C380" t="s">
        <v>12</v>
      </c>
      <c r="D380">
        <v>1</v>
      </c>
      <c r="E380">
        <v>1000</v>
      </c>
      <c r="F380">
        <v>3.1539000000000001</v>
      </c>
      <c r="G380">
        <v>3.220672</v>
      </c>
      <c r="H380">
        <v>6.6784034699999995E-2</v>
      </c>
      <c r="I380">
        <v>0.25407299999999999</v>
      </c>
      <c r="J380">
        <v>0.237291</v>
      </c>
      <c r="K380">
        <v>-6.6049548999999999E-2</v>
      </c>
      <c r="L380">
        <v>2.1175143800000001E-2</v>
      </c>
      <c r="M380">
        <v>0.92</v>
      </c>
      <c r="N380">
        <v>1</v>
      </c>
    </row>
    <row r="381" spans="1:14" x14ac:dyDescent="0.25">
      <c r="A381" t="s">
        <v>142</v>
      </c>
      <c r="B381" t="s">
        <v>371</v>
      </c>
      <c r="C381" t="s">
        <v>13</v>
      </c>
      <c r="D381">
        <v>1</v>
      </c>
      <c r="E381">
        <v>1000</v>
      </c>
      <c r="F381">
        <v>-0.434</v>
      </c>
      <c r="G381">
        <v>-0.43180400000000002</v>
      </c>
      <c r="H381">
        <v>2.1563112999999998E-3</v>
      </c>
      <c r="I381">
        <v>8.9330999999999994E-2</v>
      </c>
      <c r="J381">
        <v>8.5902999999999993E-2</v>
      </c>
      <c r="K381">
        <v>-3.8370394000000002E-2</v>
      </c>
      <c r="L381">
        <v>-4.9689169999999998E-3</v>
      </c>
      <c r="M381">
        <v>0.94299999999999995</v>
      </c>
      <c r="N381">
        <v>1</v>
      </c>
    </row>
    <row r="382" spans="1:14" x14ac:dyDescent="0.25">
      <c r="A382" t="s">
        <v>142</v>
      </c>
      <c r="B382" t="s">
        <v>371</v>
      </c>
      <c r="C382" t="s">
        <v>14</v>
      </c>
      <c r="D382">
        <v>1</v>
      </c>
      <c r="E382">
        <v>1000</v>
      </c>
      <c r="F382">
        <v>-7.6E-3</v>
      </c>
      <c r="G382">
        <v>-9.6089999999999995E-3</v>
      </c>
      <c r="H382">
        <v>-1.9909870000000001E-3</v>
      </c>
      <c r="I382">
        <v>4.9945999999999997E-2</v>
      </c>
      <c r="J382">
        <v>5.1838000000000002E-2</v>
      </c>
      <c r="K382">
        <v>3.7887599199999997E-2</v>
      </c>
      <c r="L382">
        <v>0.2613526088</v>
      </c>
      <c r="M382">
        <v>0.95399999999999996</v>
      </c>
      <c r="N382">
        <v>4.2999999999999997E-2</v>
      </c>
    </row>
    <row r="383" spans="1:14" x14ac:dyDescent="0.25">
      <c r="A383" t="s">
        <v>142</v>
      </c>
      <c r="B383" t="s">
        <v>371</v>
      </c>
      <c r="C383" t="s">
        <v>15</v>
      </c>
      <c r="D383">
        <v>1</v>
      </c>
      <c r="E383">
        <v>1000</v>
      </c>
      <c r="F383">
        <v>-0.4551</v>
      </c>
      <c r="G383">
        <v>-0.46601100000000001</v>
      </c>
      <c r="H383">
        <v>-1.0878647999999999E-2</v>
      </c>
      <c r="I383">
        <v>5.8779999999999999E-2</v>
      </c>
      <c r="J383">
        <v>5.6354000000000001E-2</v>
      </c>
      <c r="K383">
        <v>-4.1274626000000002E-2</v>
      </c>
      <c r="L383">
        <v>2.39021887E-2</v>
      </c>
      <c r="M383">
        <v>0.93400000000000005</v>
      </c>
      <c r="N383">
        <v>1</v>
      </c>
    </row>
    <row r="384" spans="1:14" x14ac:dyDescent="0.25">
      <c r="A384" t="s">
        <v>142</v>
      </c>
      <c r="B384" t="s">
        <v>371</v>
      </c>
      <c r="C384" t="s">
        <v>16</v>
      </c>
      <c r="D384">
        <v>1</v>
      </c>
      <c r="E384">
        <v>1000</v>
      </c>
      <c r="F384">
        <v>-8.0399999999999999E-2</v>
      </c>
      <c r="G384">
        <v>-7.8572000000000003E-2</v>
      </c>
      <c r="H384">
        <v>1.8342882E-3</v>
      </c>
      <c r="I384">
        <v>6.6327999999999998E-2</v>
      </c>
      <c r="J384">
        <v>6.5844E-2</v>
      </c>
      <c r="K384">
        <v>-7.2882800000000003E-3</v>
      </c>
      <c r="L384">
        <v>-2.2812676E-2</v>
      </c>
      <c r="M384">
        <v>0.95199999999999996</v>
      </c>
      <c r="N384">
        <v>0.218</v>
      </c>
    </row>
    <row r="385" spans="1:14" x14ac:dyDescent="0.25">
      <c r="A385" t="s">
        <v>142</v>
      </c>
      <c r="B385" t="s">
        <v>371</v>
      </c>
      <c r="C385" t="s">
        <v>17</v>
      </c>
      <c r="D385">
        <v>1</v>
      </c>
      <c r="E385">
        <v>1000</v>
      </c>
      <c r="F385">
        <v>-0.1255</v>
      </c>
      <c r="G385">
        <v>-0.12610099999999999</v>
      </c>
      <c r="H385">
        <v>-6.3647400000000005E-4</v>
      </c>
      <c r="I385">
        <v>5.8250000000000003E-3</v>
      </c>
      <c r="J385">
        <v>5.7939999999999997E-3</v>
      </c>
      <c r="K385">
        <v>-5.457539E-3</v>
      </c>
      <c r="L385">
        <v>5.0729288999999999E-3</v>
      </c>
      <c r="M385">
        <v>0.94</v>
      </c>
      <c r="N385">
        <v>1</v>
      </c>
    </row>
    <row r="386" spans="1:14" x14ac:dyDescent="0.25">
      <c r="A386" t="s">
        <v>142</v>
      </c>
      <c r="B386" t="s">
        <v>371</v>
      </c>
      <c r="C386" t="s">
        <v>18</v>
      </c>
      <c r="D386">
        <v>1</v>
      </c>
      <c r="E386">
        <v>1000</v>
      </c>
      <c r="F386">
        <v>-1.1999999999999999E-3</v>
      </c>
      <c r="G386">
        <v>-1.17E-3</v>
      </c>
      <c r="H386">
        <v>2.27404E-5</v>
      </c>
      <c r="I386">
        <v>3.0760000000000002E-3</v>
      </c>
      <c r="J386">
        <v>2.9840000000000001E-3</v>
      </c>
      <c r="K386">
        <v>-2.9685764999999999E-2</v>
      </c>
      <c r="L386">
        <v>-1.9071673000000001E-2</v>
      </c>
      <c r="M386">
        <v>0.94099999999999995</v>
      </c>
      <c r="N386">
        <v>7.3999999999999996E-2</v>
      </c>
    </row>
    <row r="387" spans="1:14" x14ac:dyDescent="0.25">
      <c r="A387" t="s">
        <v>142</v>
      </c>
      <c r="B387" t="s">
        <v>372</v>
      </c>
      <c r="C387" t="s">
        <v>12</v>
      </c>
      <c r="D387">
        <v>1</v>
      </c>
      <c r="E387">
        <v>1000</v>
      </c>
      <c r="F387">
        <v>3.1539000000000001</v>
      </c>
      <c r="G387">
        <v>3.14229</v>
      </c>
      <c r="H387">
        <v>-1.1598359000000001E-2</v>
      </c>
      <c r="I387">
        <v>0.243533</v>
      </c>
      <c r="J387">
        <v>0.22684599999999999</v>
      </c>
      <c r="K387">
        <v>-6.8518863999999999E-2</v>
      </c>
      <c r="L387">
        <v>-3.677479E-3</v>
      </c>
      <c r="M387">
        <v>0.93600000000000005</v>
      </c>
      <c r="N387">
        <v>1</v>
      </c>
    </row>
    <row r="388" spans="1:14" x14ac:dyDescent="0.25">
      <c r="A388" t="s">
        <v>142</v>
      </c>
      <c r="B388" t="s">
        <v>372</v>
      </c>
      <c r="C388" t="s">
        <v>13</v>
      </c>
      <c r="D388">
        <v>1</v>
      </c>
      <c r="E388">
        <v>1000</v>
      </c>
      <c r="F388">
        <v>-0.434</v>
      </c>
      <c r="G388">
        <v>-0.34493699999999999</v>
      </c>
      <c r="H388">
        <v>8.9023063999999999E-2</v>
      </c>
      <c r="I388">
        <v>8.6532999999999999E-2</v>
      </c>
      <c r="J388">
        <v>8.2368999999999998E-2</v>
      </c>
      <c r="K388">
        <v>-4.8126257999999998E-2</v>
      </c>
      <c r="L388">
        <v>-0.20514115999999999</v>
      </c>
      <c r="M388">
        <v>0.77900000000000003</v>
      </c>
      <c r="N388">
        <v>0.98899999999999999</v>
      </c>
    </row>
    <row r="389" spans="1:14" x14ac:dyDescent="0.25">
      <c r="A389" t="s">
        <v>142</v>
      </c>
      <c r="B389" t="s">
        <v>372</v>
      </c>
      <c r="C389" t="s">
        <v>14</v>
      </c>
      <c r="D389">
        <v>1</v>
      </c>
      <c r="E389">
        <v>1000</v>
      </c>
      <c r="F389">
        <v>-7.6E-3</v>
      </c>
      <c r="G389">
        <v>-1.6355999999999999E-2</v>
      </c>
      <c r="H389">
        <v>-8.737725E-3</v>
      </c>
      <c r="I389">
        <v>4.6463999999999998E-2</v>
      </c>
      <c r="J389">
        <v>4.9303E-2</v>
      </c>
      <c r="K389">
        <v>6.1103491099999997E-2</v>
      </c>
      <c r="L389">
        <v>1.1469825154</v>
      </c>
      <c r="M389">
        <v>0.96</v>
      </c>
      <c r="N389">
        <v>5.0999999999999997E-2</v>
      </c>
    </row>
    <row r="390" spans="1:14" x14ac:dyDescent="0.25">
      <c r="A390" t="s">
        <v>142</v>
      </c>
      <c r="B390" t="s">
        <v>372</v>
      </c>
      <c r="C390" t="s">
        <v>15</v>
      </c>
      <c r="D390">
        <v>1</v>
      </c>
      <c r="E390">
        <v>1000</v>
      </c>
      <c r="F390">
        <v>-0.4551</v>
      </c>
      <c r="G390">
        <v>-0.470414</v>
      </c>
      <c r="H390">
        <v>-1.5282534E-2</v>
      </c>
      <c r="I390">
        <v>5.6605000000000003E-2</v>
      </c>
      <c r="J390">
        <v>5.3877000000000001E-2</v>
      </c>
      <c r="K390">
        <v>-4.8182941E-2</v>
      </c>
      <c r="L390">
        <v>3.35782539E-2</v>
      </c>
      <c r="M390">
        <v>0.92700000000000005</v>
      </c>
      <c r="N390">
        <v>1</v>
      </c>
    </row>
    <row r="391" spans="1:14" x14ac:dyDescent="0.25">
      <c r="A391" t="s">
        <v>142</v>
      </c>
      <c r="B391" t="s">
        <v>372</v>
      </c>
      <c r="C391" t="s">
        <v>16</v>
      </c>
      <c r="D391">
        <v>1</v>
      </c>
      <c r="E391">
        <v>1000</v>
      </c>
      <c r="F391">
        <v>-8.0399999999999999E-2</v>
      </c>
      <c r="G391">
        <v>-9.8285999999999998E-2</v>
      </c>
      <c r="H391">
        <v>-1.7879018999999999E-2</v>
      </c>
      <c r="I391">
        <v>6.3584000000000002E-2</v>
      </c>
      <c r="J391">
        <v>6.3233999999999999E-2</v>
      </c>
      <c r="K391">
        <v>-5.5035379999999997E-3</v>
      </c>
      <c r="L391">
        <v>0.2223577907</v>
      </c>
      <c r="M391">
        <v>0.93600000000000005</v>
      </c>
      <c r="N391">
        <v>0.34</v>
      </c>
    </row>
    <row r="392" spans="1:14" x14ac:dyDescent="0.25">
      <c r="A392" t="s">
        <v>142</v>
      </c>
      <c r="B392" t="s">
        <v>372</v>
      </c>
      <c r="C392" t="s">
        <v>17</v>
      </c>
      <c r="D392">
        <v>1</v>
      </c>
      <c r="E392">
        <v>1000</v>
      </c>
      <c r="F392">
        <v>-0.1255</v>
      </c>
      <c r="G392">
        <v>-0.134524</v>
      </c>
      <c r="H392">
        <v>-9.0590570000000006E-3</v>
      </c>
      <c r="I392">
        <v>5.6579999999999998E-3</v>
      </c>
      <c r="J392">
        <v>5.5979999999999997E-3</v>
      </c>
      <c r="K392">
        <v>-1.0594766E-2</v>
      </c>
      <c r="L392">
        <v>7.2204001899999995E-2</v>
      </c>
      <c r="M392">
        <v>0.625</v>
      </c>
      <c r="N392">
        <v>1</v>
      </c>
    </row>
    <row r="393" spans="1:14" x14ac:dyDescent="0.25">
      <c r="A393" t="s">
        <v>142</v>
      </c>
      <c r="B393" t="s">
        <v>372</v>
      </c>
      <c r="C393" t="s">
        <v>18</v>
      </c>
      <c r="D393">
        <v>1</v>
      </c>
      <c r="E393">
        <v>1000</v>
      </c>
      <c r="F393">
        <v>-1.1999999999999999E-3</v>
      </c>
      <c r="G393">
        <v>-5.9900000000000003E-4</v>
      </c>
      <c r="H393">
        <v>5.9312079999999999E-4</v>
      </c>
      <c r="I393">
        <v>2.9290000000000002E-3</v>
      </c>
      <c r="J393">
        <v>2.8519999999999999E-3</v>
      </c>
      <c r="K393">
        <v>-2.6449369E-2</v>
      </c>
      <c r="L393">
        <v>-0.497432178</v>
      </c>
      <c r="M393">
        <v>0.93500000000000005</v>
      </c>
      <c r="N393">
        <v>6.2E-2</v>
      </c>
    </row>
    <row r="394" spans="1:14" x14ac:dyDescent="0.25">
      <c r="A394" t="s">
        <v>142</v>
      </c>
      <c r="B394" t="s">
        <v>373</v>
      </c>
      <c r="C394" t="s">
        <v>12</v>
      </c>
      <c r="D394">
        <v>1</v>
      </c>
      <c r="E394">
        <v>1000</v>
      </c>
      <c r="F394">
        <v>3.1539000000000001</v>
      </c>
      <c r="G394">
        <v>3.1725620000000001</v>
      </c>
      <c r="H394">
        <v>1.86743082E-2</v>
      </c>
      <c r="I394">
        <v>0.20907400000000001</v>
      </c>
      <c r="J394">
        <v>0.20135</v>
      </c>
      <c r="K394">
        <v>-3.6943787999999998E-2</v>
      </c>
      <c r="L394">
        <v>5.9210432999999996E-3</v>
      </c>
      <c r="M394">
        <v>0.93600000000000005</v>
      </c>
      <c r="N394">
        <v>1</v>
      </c>
    </row>
    <row r="395" spans="1:14" x14ac:dyDescent="0.25">
      <c r="A395" t="s">
        <v>142</v>
      </c>
      <c r="B395" t="s">
        <v>373</v>
      </c>
      <c r="C395" t="s">
        <v>13</v>
      </c>
      <c r="D395">
        <v>1</v>
      </c>
      <c r="E395">
        <v>1000</v>
      </c>
      <c r="F395">
        <v>-0.434</v>
      </c>
      <c r="G395">
        <v>-0.43319600000000003</v>
      </c>
      <c r="H395">
        <v>7.6393679999999995E-4</v>
      </c>
      <c r="I395">
        <v>7.6814999999999994E-2</v>
      </c>
      <c r="J395">
        <v>7.1982000000000004E-2</v>
      </c>
      <c r="K395">
        <v>-6.2910711999999994E-2</v>
      </c>
      <c r="L395">
        <v>-1.7603849999999999E-3</v>
      </c>
      <c r="M395">
        <v>0.92600000000000005</v>
      </c>
      <c r="N395">
        <v>1</v>
      </c>
    </row>
    <row r="396" spans="1:14" x14ac:dyDescent="0.25">
      <c r="A396" t="s">
        <v>142</v>
      </c>
      <c r="B396" t="s">
        <v>373</v>
      </c>
      <c r="C396" t="s">
        <v>14</v>
      </c>
      <c r="D396">
        <v>1</v>
      </c>
      <c r="E396">
        <v>1000</v>
      </c>
      <c r="F396">
        <v>-7.6E-3</v>
      </c>
      <c r="G396">
        <v>-7.8329999999999997E-3</v>
      </c>
      <c r="H396">
        <v>-2.1458E-4</v>
      </c>
      <c r="I396">
        <v>4.3004000000000001E-2</v>
      </c>
      <c r="J396">
        <v>4.3844000000000001E-2</v>
      </c>
      <c r="K396">
        <v>1.9546474500000001E-2</v>
      </c>
      <c r="L396">
        <v>2.81674874E-2</v>
      </c>
      <c r="M396">
        <v>0.94599999999999995</v>
      </c>
      <c r="N396">
        <v>5.8000000000000003E-2</v>
      </c>
    </row>
    <row r="397" spans="1:14" x14ac:dyDescent="0.25">
      <c r="A397" t="s">
        <v>142</v>
      </c>
      <c r="B397" t="s">
        <v>373</v>
      </c>
      <c r="C397" t="s">
        <v>15</v>
      </c>
      <c r="D397">
        <v>1</v>
      </c>
      <c r="E397">
        <v>1000</v>
      </c>
      <c r="F397">
        <v>-0.4551</v>
      </c>
      <c r="G397">
        <v>-0.46066200000000002</v>
      </c>
      <c r="H397">
        <v>-5.5304430000000003E-3</v>
      </c>
      <c r="I397">
        <v>4.9785999999999997E-2</v>
      </c>
      <c r="J397">
        <v>4.7400999999999999E-2</v>
      </c>
      <c r="K397">
        <v>-4.7922523000000002E-2</v>
      </c>
      <c r="L397">
        <v>1.2151297700000001E-2</v>
      </c>
      <c r="M397">
        <v>0.92300000000000004</v>
      </c>
      <c r="N397">
        <v>1</v>
      </c>
    </row>
    <row r="398" spans="1:14" x14ac:dyDescent="0.25">
      <c r="A398" t="s">
        <v>142</v>
      </c>
      <c r="B398" t="s">
        <v>373</v>
      </c>
      <c r="C398" t="s">
        <v>16</v>
      </c>
      <c r="D398">
        <v>1</v>
      </c>
      <c r="E398">
        <v>1000</v>
      </c>
      <c r="F398">
        <v>-8.0399999999999999E-2</v>
      </c>
      <c r="G398">
        <v>-8.1030000000000005E-2</v>
      </c>
      <c r="H398">
        <v>-6.2306799999999995E-4</v>
      </c>
      <c r="I398">
        <v>5.5864999999999998E-2</v>
      </c>
      <c r="J398">
        <v>5.4893999999999998E-2</v>
      </c>
      <c r="K398">
        <v>-1.7390870999999999E-2</v>
      </c>
      <c r="L398">
        <v>7.7489773999999999E-3</v>
      </c>
      <c r="M398">
        <v>0.94399999999999995</v>
      </c>
      <c r="N398">
        <v>0.33300000000000002</v>
      </c>
    </row>
    <row r="399" spans="1:14" x14ac:dyDescent="0.25">
      <c r="A399" t="s">
        <v>142</v>
      </c>
      <c r="B399" t="s">
        <v>373</v>
      </c>
      <c r="C399" t="s">
        <v>17</v>
      </c>
      <c r="D399">
        <v>1</v>
      </c>
      <c r="E399">
        <v>1000</v>
      </c>
      <c r="F399">
        <v>-0.1255</v>
      </c>
      <c r="G399">
        <v>-0.125307</v>
      </c>
      <c r="H399">
        <v>1.5727030000000001E-4</v>
      </c>
      <c r="I399">
        <v>4.8269999999999997E-3</v>
      </c>
      <c r="J399">
        <v>4.7990000000000003E-3</v>
      </c>
      <c r="K399">
        <v>-5.6283230000000002E-3</v>
      </c>
      <c r="L399">
        <v>-1.2535020000000001E-3</v>
      </c>
      <c r="M399">
        <v>0.94699999999999995</v>
      </c>
      <c r="N399">
        <v>1</v>
      </c>
    </row>
    <row r="400" spans="1:14" x14ac:dyDescent="0.25">
      <c r="A400" t="s">
        <v>142</v>
      </c>
      <c r="B400" t="s">
        <v>373</v>
      </c>
      <c r="C400" t="s">
        <v>18</v>
      </c>
      <c r="D400">
        <v>1</v>
      </c>
      <c r="E400">
        <v>1000</v>
      </c>
      <c r="F400">
        <v>-1.1999999999999999E-3</v>
      </c>
      <c r="G400">
        <v>-1.189E-3</v>
      </c>
      <c r="H400" s="4">
        <v>3.1221593000000001E-6</v>
      </c>
      <c r="I400">
        <v>2.5360000000000001E-3</v>
      </c>
      <c r="J400">
        <v>2.454E-3</v>
      </c>
      <c r="K400">
        <v>-3.2214462999999999E-2</v>
      </c>
      <c r="L400">
        <v>-2.6184590000000001E-3</v>
      </c>
      <c r="M400">
        <v>0.94499999999999995</v>
      </c>
      <c r="N400">
        <v>7.9000000000000001E-2</v>
      </c>
    </row>
    <row r="401" spans="1:14" x14ac:dyDescent="0.25">
      <c r="A401" t="s">
        <v>142</v>
      </c>
      <c r="B401" t="s">
        <v>374</v>
      </c>
      <c r="C401" t="s">
        <v>12</v>
      </c>
      <c r="D401">
        <v>1</v>
      </c>
      <c r="E401">
        <v>1000</v>
      </c>
      <c r="F401">
        <v>3.1539000000000001</v>
      </c>
      <c r="G401">
        <v>3.1746560000000001</v>
      </c>
      <c r="H401">
        <v>2.07681082E-2</v>
      </c>
      <c r="I401">
        <v>0.21129300000000001</v>
      </c>
      <c r="J401">
        <v>0.20310700000000001</v>
      </c>
      <c r="K401">
        <v>-3.8743381E-2</v>
      </c>
      <c r="L401">
        <v>6.5849222999999997E-3</v>
      </c>
      <c r="M401">
        <v>0.92800000000000005</v>
      </c>
      <c r="N401">
        <v>1</v>
      </c>
    </row>
    <row r="402" spans="1:14" x14ac:dyDescent="0.25">
      <c r="A402" t="s">
        <v>142</v>
      </c>
      <c r="B402" t="s">
        <v>374</v>
      </c>
      <c r="C402" t="s">
        <v>13</v>
      </c>
      <c r="D402">
        <v>1</v>
      </c>
      <c r="E402">
        <v>1000</v>
      </c>
      <c r="F402">
        <v>-0.434</v>
      </c>
      <c r="G402">
        <v>-0.431029</v>
      </c>
      <c r="H402">
        <v>2.9310453999999999E-3</v>
      </c>
      <c r="I402">
        <v>7.7398999999999996E-2</v>
      </c>
      <c r="J402">
        <v>7.2502999999999998E-2</v>
      </c>
      <c r="K402">
        <v>-6.3261223000000005E-2</v>
      </c>
      <c r="L402">
        <v>-6.7541830000000004E-3</v>
      </c>
      <c r="M402">
        <v>0.92400000000000004</v>
      </c>
      <c r="N402">
        <v>1</v>
      </c>
    </row>
    <row r="403" spans="1:14" x14ac:dyDescent="0.25">
      <c r="A403" t="s">
        <v>142</v>
      </c>
      <c r="B403" t="s">
        <v>374</v>
      </c>
      <c r="C403" t="s">
        <v>14</v>
      </c>
      <c r="D403">
        <v>1</v>
      </c>
      <c r="E403">
        <v>1000</v>
      </c>
      <c r="F403">
        <v>-7.6E-3</v>
      </c>
      <c r="G403">
        <v>-7.9970000000000006E-3</v>
      </c>
      <c r="H403">
        <v>-3.7901900000000002E-4</v>
      </c>
      <c r="I403">
        <v>4.3582000000000003E-2</v>
      </c>
      <c r="J403">
        <v>4.4149000000000001E-2</v>
      </c>
      <c r="K403">
        <v>1.3021009599999999E-2</v>
      </c>
      <c r="L403">
        <v>4.9753029599999998E-2</v>
      </c>
      <c r="M403">
        <v>0.94599999999999995</v>
      </c>
      <c r="N403">
        <v>5.6000000000000001E-2</v>
      </c>
    </row>
    <row r="404" spans="1:14" x14ac:dyDescent="0.25">
      <c r="A404" t="s">
        <v>142</v>
      </c>
      <c r="B404" t="s">
        <v>374</v>
      </c>
      <c r="C404" t="s">
        <v>15</v>
      </c>
      <c r="D404">
        <v>1</v>
      </c>
      <c r="E404">
        <v>1000</v>
      </c>
      <c r="F404">
        <v>-0.4551</v>
      </c>
      <c r="G404">
        <v>-0.46174199999999999</v>
      </c>
      <c r="H404">
        <v>-6.610154E-3</v>
      </c>
      <c r="I404">
        <v>5.0368000000000003E-2</v>
      </c>
      <c r="J404">
        <v>4.7768999999999999E-2</v>
      </c>
      <c r="K404">
        <v>-5.1608876999999997E-2</v>
      </c>
      <c r="L404">
        <v>1.4523601299999999E-2</v>
      </c>
      <c r="M404">
        <v>0.92200000000000004</v>
      </c>
      <c r="N404">
        <v>1</v>
      </c>
    </row>
    <row r="405" spans="1:14" x14ac:dyDescent="0.25">
      <c r="A405" t="s">
        <v>142</v>
      </c>
      <c r="B405" t="s">
        <v>374</v>
      </c>
      <c r="C405" t="s">
        <v>16</v>
      </c>
      <c r="D405">
        <v>1</v>
      </c>
      <c r="E405">
        <v>1000</v>
      </c>
      <c r="F405">
        <v>-8.0399999999999999E-2</v>
      </c>
      <c r="G405">
        <v>-8.1383999999999998E-2</v>
      </c>
      <c r="H405">
        <v>-9.7728799999999998E-4</v>
      </c>
      <c r="I405">
        <v>5.6168000000000003E-2</v>
      </c>
      <c r="J405">
        <v>5.5261999999999999E-2</v>
      </c>
      <c r="K405">
        <v>-1.6118974000000001E-2</v>
      </c>
      <c r="L405">
        <v>1.21543346E-2</v>
      </c>
      <c r="M405">
        <v>0.94599999999999995</v>
      </c>
      <c r="N405">
        <v>0.32500000000000001</v>
      </c>
    </row>
    <row r="406" spans="1:14" x14ac:dyDescent="0.25">
      <c r="A406" t="s">
        <v>142</v>
      </c>
      <c r="B406" t="s">
        <v>374</v>
      </c>
      <c r="C406" t="s">
        <v>17</v>
      </c>
      <c r="D406">
        <v>1</v>
      </c>
      <c r="E406">
        <v>1000</v>
      </c>
      <c r="F406">
        <v>-0.1255</v>
      </c>
      <c r="G406">
        <v>-0.12558800000000001</v>
      </c>
      <c r="H406">
        <v>-1.2320000000000001E-4</v>
      </c>
      <c r="I406">
        <v>4.8799999999999998E-3</v>
      </c>
      <c r="J406">
        <v>4.8329999999999996E-3</v>
      </c>
      <c r="K406">
        <v>-9.6477520000000008E-3</v>
      </c>
      <c r="L406">
        <v>9.8195149999999996E-4</v>
      </c>
      <c r="M406">
        <v>0.94599999999999995</v>
      </c>
      <c r="N406">
        <v>1</v>
      </c>
    </row>
    <row r="407" spans="1:14" x14ac:dyDescent="0.25">
      <c r="A407" t="s">
        <v>142</v>
      </c>
      <c r="B407" t="s">
        <v>374</v>
      </c>
      <c r="C407" t="s">
        <v>18</v>
      </c>
      <c r="D407">
        <v>1</v>
      </c>
      <c r="E407">
        <v>1000</v>
      </c>
      <c r="F407">
        <v>-1.1999999999999999E-3</v>
      </c>
      <c r="G407">
        <v>-1.1839999999999999E-3</v>
      </c>
      <c r="H407" s="4">
        <v>8.5491117000000005E-6</v>
      </c>
      <c r="I407">
        <v>2.5660000000000001E-3</v>
      </c>
      <c r="J407">
        <v>2.4729999999999999E-3</v>
      </c>
      <c r="K407">
        <v>-3.6160019000000002E-2</v>
      </c>
      <c r="L407">
        <v>-7.1698769999999998E-3</v>
      </c>
      <c r="M407">
        <v>0.94399999999999995</v>
      </c>
      <c r="N407">
        <v>8.5999999999999993E-2</v>
      </c>
    </row>
    <row r="408" spans="1:14" x14ac:dyDescent="0.25">
      <c r="A408" t="s">
        <v>142</v>
      </c>
      <c r="B408" t="s">
        <v>637</v>
      </c>
      <c r="C408" t="s">
        <v>12</v>
      </c>
      <c r="D408">
        <v>1</v>
      </c>
      <c r="E408">
        <v>932</v>
      </c>
      <c r="F408">
        <v>106.8125</v>
      </c>
      <c r="G408">
        <v>105.567131</v>
      </c>
      <c r="H408">
        <v>-1.245325821</v>
      </c>
      <c r="I408">
        <v>1.7926679999999999</v>
      </c>
      <c r="J408">
        <v>1.7911410000000001</v>
      </c>
      <c r="K408">
        <v>-8.5163600000000002E-4</v>
      </c>
      <c r="L408">
        <v>-1.1658994000000001E-2</v>
      </c>
      <c r="M408">
        <v>0.89270386270000002</v>
      </c>
      <c r="N408">
        <v>1</v>
      </c>
    </row>
    <row r="409" spans="1:14" x14ac:dyDescent="0.25">
      <c r="A409" t="s">
        <v>142</v>
      </c>
      <c r="B409" t="s">
        <v>637</v>
      </c>
      <c r="C409" t="s">
        <v>13</v>
      </c>
      <c r="D409">
        <v>1</v>
      </c>
      <c r="E409">
        <v>932</v>
      </c>
      <c r="F409">
        <v>-4.7992999999999997</v>
      </c>
      <c r="G409">
        <v>-4.926482</v>
      </c>
      <c r="H409">
        <v>-0.12720056299999999</v>
      </c>
      <c r="I409">
        <v>0.63679699999999995</v>
      </c>
      <c r="J409">
        <v>0.65160499999999999</v>
      </c>
      <c r="K409">
        <v>2.3253310999999999E-2</v>
      </c>
      <c r="L409">
        <v>2.6504082599999999E-2</v>
      </c>
      <c r="M409">
        <v>0.95278969960000004</v>
      </c>
      <c r="N409">
        <v>1</v>
      </c>
    </row>
    <row r="410" spans="1:14" x14ac:dyDescent="0.25">
      <c r="A410" t="s">
        <v>142</v>
      </c>
      <c r="B410" t="s">
        <v>637</v>
      </c>
      <c r="C410" t="s">
        <v>14</v>
      </c>
      <c r="D410">
        <v>1</v>
      </c>
      <c r="E410">
        <v>932</v>
      </c>
      <c r="F410">
        <v>8.7021999999999995</v>
      </c>
      <c r="G410">
        <v>9.1957419999999992</v>
      </c>
      <c r="H410">
        <v>0.49353450900000001</v>
      </c>
      <c r="I410">
        <v>0.363566</v>
      </c>
      <c r="J410">
        <v>0.38341900000000001</v>
      </c>
      <c r="K410">
        <v>5.4604333099999999E-2</v>
      </c>
      <c r="L410">
        <v>5.6713715200000001E-2</v>
      </c>
      <c r="M410">
        <v>0.75965665240000002</v>
      </c>
      <c r="N410">
        <v>1</v>
      </c>
    </row>
    <row r="411" spans="1:14" x14ac:dyDescent="0.25">
      <c r="A411" t="s">
        <v>142</v>
      </c>
      <c r="B411" t="s">
        <v>637</v>
      </c>
      <c r="C411" t="s">
        <v>15</v>
      </c>
      <c r="D411">
        <v>1</v>
      </c>
      <c r="E411">
        <v>932</v>
      </c>
      <c r="F411">
        <v>-1.5806</v>
      </c>
      <c r="G411">
        <v>-1.439311</v>
      </c>
      <c r="H411">
        <v>0.14131508749999999</v>
      </c>
      <c r="I411">
        <v>0.43737199999999998</v>
      </c>
      <c r="J411">
        <v>0.43826700000000002</v>
      </c>
      <c r="K411">
        <v>2.0480159000000001E-3</v>
      </c>
      <c r="L411">
        <v>-8.9404511000000006E-2</v>
      </c>
      <c r="M411">
        <v>0.95064377680000001</v>
      </c>
      <c r="N411">
        <v>0.91094420600000003</v>
      </c>
    </row>
    <row r="412" spans="1:14" x14ac:dyDescent="0.25">
      <c r="A412" t="s">
        <v>142</v>
      </c>
      <c r="B412" t="s">
        <v>637</v>
      </c>
      <c r="C412" t="s">
        <v>16</v>
      </c>
      <c r="D412">
        <v>1</v>
      </c>
      <c r="E412">
        <v>932</v>
      </c>
      <c r="F412">
        <v>-7.7763999999999998</v>
      </c>
      <c r="G412">
        <v>-8.2905920000000002</v>
      </c>
      <c r="H412">
        <v>-0.514162542</v>
      </c>
      <c r="I412">
        <v>0.45889799999999997</v>
      </c>
      <c r="J412">
        <v>0.477101</v>
      </c>
      <c r="K412">
        <v>3.9666873800000002E-2</v>
      </c>
      <c r="L412">
        <v>6.6118078499999997E-2</v>
      </c>
      <c r="M412">
        <v>0.81545064379999999</v>
      </c>
      <c r="N412">
        <v>1</v>
      </c>
    </row>
    <row r="413" spans="1:14" x14ac:dyDescent="0.25">
      <c r="A413" t="s">
        <v>142</v>
      </c>
      <c r="B413" t="s">
        <v>637</v>
      </c>
      <c r="C413" t="s">
        <v>17</v>
      </c>
      <c r="D413">
        <v>1</v>
      </c>
      <c r="E413">
        <v>932</v>
      </c>
      <c r="F413">
        <v>5.8643999999999998</v>
      </c>
      <c r="G413">
        <v>5.866962</v>
      </c>
      <c r="H413">
        <v>2.551228E-3</v>
      </c>
      <c r="I413">
        <v>2.9503999999999999E-2</v>
      </c>
      <c r="J413">
        <v>3.0277999999999999E-2</v>
      </c>
      <c r="K413">
        <v>2.6214439400000001E-2</v>
      </c>
      <c r="L413">
        <v>4.3503569999999998E-4</v>
      </c>
      <c r="M413">
        <v>0.94635193129999995</v>
      </c>
      <c r="N413">
        <v>1</v>
      </c>
    </row>
    <row r="414" spans="1:14" x14ac:dyDescent="0.25">
      <c r="A414" t="s">
        <v>142</v>
      </c>
      <c r="B414" t="s">
        <v>637</v>
      </c>
      <c r="C414" t="s">
        <v>18</v>
      </c>
      <c r="D414">
        <v>1</v>
      </c>
      <c r="E414">
        <v>932</v>
      </c>
      <c r="F414">
        <v>3.2099999999999997E-2</v>
      </c>
      <c r="G414">
        <v>3.7365000000000002E-2</v>
      </c>
      <c r="H414">
        <v>5.2570984999999997E-3</v>
      </c>
      <c r="I414">
        <v>1.8098E-2</v>
      </c>
      <c r="J414">
        <v>1.8071E-2</v>
      </c>
      <c r="K414">
        <v>-1.502881E-3</v>
      </c>
      <c r="L414">
        <v>0.1637297341</v>
      </c>
      <c r="M414">
        <v>0.93991416309999998</v>
      </c>
      <c r="N414">
        <v>0.53969957079999997</v>
      </c>
    </row>
    <row r="415" spans="1:14" x14ac:dyDescent="0.25">
      <c r="A415" t="s">
        <v>142</v>
      </c>
      <c r="B415" t="s">
        <v>639</v>
      </c>
      <c r="C415" t="s">
        <v>12</v>
      </c>
      <c r="D415">
        <v>1</v>
      </c>
      <c r="E415">
        <v>880</v>
      </c>
      <c r="F415">
        <v>3.1539000000000001</v>
      </c>
      <c r="G415">
        <v>3.173743</v>
      </c>
      <c r="H415">
        <v>1.9854816800000001E-2</v>
      </c>
      <c r="I415">
        <v>0.212198</v>
      </c>
      <c r="J415">
        <v>0.20144100000000001</v>
      </c>
      <c r="K415">
        <v>-5.0689948999999998E-2</v>
      </c>
      <c r="L415">
        <v>6.2953458999999998E-3</v>
      </c>
      <c r="M415">
        <v>0.93181818179999998</v>
      </c>
      <c r="N415">
        <v>1</v>
      </c>
    </row>
    <row r="416" spans="1:14" x14ac:dyDescent="0.25">
      <c r="A416" t="s">
        <v>142</v>
      </c>
      <c r="B416" t="s">
        <v>639</v>
      </c>
      <c r="C416" t="s">
        <v>13</v>
      </c>
      <c r="D416">
        <v>1</v>
      </c>
      <c r="E416">
        <v>880</v>
      </c>
      <c r="F416">
        <v>-0.434</v>
      </c>
      <c r="G416">
        <v>-0.43198599999999998</v>
      </c>
      <c r="H416">
        <v>1.9735714000000001E-3</v>
      </c>
      <c r="I416">
        <v>7.7126E-2</v>
      </c>
      <c r="J416">
        <v>7.2052000000000005E-2</v>
      </c>
      <c r="K416">
        <v>-6.5783762999999995E-2</v>
      </c>
      <c r="L416">
        <v>-4.5478180000000003E-3</v>
      </c>
      <c r="M416">
        <v>0.92613636359999996</v>
      </c>
      <c r="N416">
        <v>1</v>
      </c>
    </row>
    <row r="417" spans="1:14" x14ac:dyDescent="0.25">
      <c r="A417" t="s">
        <v>142</v>
      </c>
      <c r="B417" t="s">
        <v>639</v>
      </c>
      <c r="C417" t="s">
        <v>14</v>
      </c>
      <c r="D417">
        <v>1</v>
      </c>
      <c r="E417">
        <v>880</v>
      </c>
      <c r="F417">
        <v>-7.6E-3</v>
      </c>
      <c r="G417">
        <v>-8.0239999999999999E-3</v>
      </c>
      <c r="H417">
        <v>-4.0606799999999999E-4</v>
      </c>
      <c r="I417">
        <v>4.2730999999999998E-2</v>
      </c>
      <c r="J417">
        <v>4.3861999999999998E-2</v>
      </c>
      <c r="K417">
        <v>2.64889684E-2</v>
      </c>
      <c r="L417">
        <v>5.3303734499999998E-2</v>
      </c>
      <c r="M417">
        <v>0.94772727270000001</v>
      </c>
      <c r="N417">
        <v>5.6818181799999999E-2</v>
      </c>
    </row>
    <row r="418" spans="1:14" x14ac:dyDescent="0.25">
      <c r="A418" t="s">
        <v>142</v>
      </c>
      <c r="B418" t="s">
        <v>639</v>
      </c>
      <c r="C418" t="s">
        <v>15</v>
      </c>
      <c r="D418">
        <v>1</v>
      </c>
      <c r="E418">
        <v>880</v>
      </c>
      <c r="F418">
        <v>-0.4551</v>
      </c>
      <c r="G418">
        <v>-0.46149699999999999</v>
      </c>
      <c r="H418">
        <v>-6.3653529999999998E-3</v>
      </c>
      <c r="I418">
        <v>5.0153000000000003E-2</v>
      </c>
      <c r="J418">
        <v>4.7445000000000001E-2</v>
      </c>
      <c r="K418">
        <v>-5.3998500999999997E-2</v>
      </c>
      <c r="L418">
        <v>1.39857318E-2</v>
      </c>
      <c r="M418">
        <v>0.92159090909999997</v>
      </c>
      <c r="N418">
        <v>1</v>
      </c>
    </row>
    <row r="419" spans="1:14" x14ac:dyDescent="0.25">
      <c r="A419" t="s">
        <v>142</v>
      </c>
      <c r="B419" t="s">
        <v>639</v>
      </c>
      <c r="C419" t="s">
        <v>16</v>
      </c>
      <c r="D419">
        <v>1</v>
      </c>
      <c r="E419">
        <v>880</v>
      </c>
      <c r="F419">
        <v>-8.0399999999999999E-2</v>
      </c>
      <c r="G419">
        <v>-8.0200999999999995E-2</v>
      </c>
      <c r="H419">
        <v>2.057912E-4</v>
      </c>
      <c r="I419">
        <v>5.602E-2</v>
      </c>
      <c r="J419">
        <v>5.4932000000000002E-2</v>
      </c>
      <c r="K419">
        <v>-1.9430930999999999E-2</v>
      </c>
      <c r="L419">
        <v>-2.5593840000000001E-3</v>
      </c>
      <c r="M419">
        <v>0.94545454549999997</v>
      </c>
      <c r="N419">
        <v>0.3363636364</v>
      </c>
    </row>
    <row r="420" spans="1:14" x14ac:dyDescent="0.25">
      <c r="A420" t="s">
        <v>142</v>
      </c>
      <c r="B420" t="s">
        <v>639</v>
      </c>
      <c r="C420" t="s">
        <v>17</v>
      </c>
      <c r="D420">
        <v>1</v>
      </c>
      <c r="E420">
        <v>880</v>
      </c>
      <c r="F420">
        <v>-0.1255</v>
      </c>
      <c r="G420">
        <v>-0.125579</v>
      </c>
      <c r="H420">
        <v>-1.13801E-4</v>
      </c>
      <c r="I420">
        <v>4.8589999999999996E-3</v>
      </c>
      <c r="J420">
        <v>4.803E-3</v>
      </c>
      <c r="K420">
        <v>-1.1552181E-2</v>
      </c>
      <c r="L420">
        <v>9.0703219999999996E-4</v>
      </c>
      <c r="M420">
        <v>0.94659090909999999</v>
      </c>
      <c r="N420">
        <v>1</v>
      </c>
    </row>
    <row r="421" spans="1:14" x14ac:dyDescent="0.25">
      <c r="A421" t="s">
        <v>142</v>
      </c>
      <c r="B421" t="s">
        <v>639</v>
      </c>
      <c r="C421" t="s">
        <v>18</v>
      </c>
      <c r="D421">
        <v>1</v>
      </c>
      <c r="E421">
        <v>880</v>
      </c>
      <c r="F421">
        <v>-1.1999999999999999E-3</v>
      </c>
      <c r="G421">
        <v>-1.181E-3</v>
      </c>
      <c r="H421">
        <v>1.1789E-5</v>
      </c>
      <c r="I421">
        <v>2.565E-3</v>
      </c>
      <c r="J421">
        <v>2.4550000000000002E-3</v>
      </c>
      <c r="K421">
        <v>-4.3072472000000001E-2</v>
      </c>
      <c r="L421">
        <v>-9.8870680000000006E-3</v>
      </c>
      <c r="M421">
        <v>0.94090909089999997</v>
      </c>
      <c r="N421">
        <v>7.9545454500000001E-2</v>
      </c>
    </row>
    <row r="422" spans="1:14" x14ac:dyDescent="0.25">
      <c r="A422" t="s">
        <v>143</v>
      </c>
      <c r="B422" t="s">
        <v>160</v>
      </c>
      <c r="C422" t="s">
        <v>12</v>
      </c>
      <c r="D422">
        <v>1</v>
      </c>
      <c r="E422">
        <v>1000</v>
      </c>
      <c r="F422">
        <v>107.0774</v>
      </c>
      <c r="G422">
        <v>106.950408</v>
      </c>
      <c r="H422">
        <v>-0.12700067700000001</v>
      </c>
      <c r="I422">
        <v>1.3640600000000001</v>
      </c>
      <c r="J422">
        <v>1.363966</v>
      </c>
      <c r="K422">
        <v>-6.8991000000000004E-5</v>
      </c>
      <c r="L422">
        <v>-1.1860639999999999E-3</v>
      </c>
      <c r="M422">
        <v>0.94599999999999995</v>
      </c>
      <c r="N422">
        <v>0</v>
      </c>
    </row>
    <row r="423" spans="1:14" x14ac:dyDescent="0.25">
      <c r="A423" t="s">
        <v>143</v>
      </c>
      <c r="B423" t="s">
        <v>160</v>
      </c>
      <c r="C423" t="s">
        <v>13</v>
      </c>
      <c r="D423">
        <v>1</v>
      </c>
      <c r="E423">
        <v>1000</v>
      </c>
      <c r="F423">
        <v>-4.7686000000000002</v>
      </c>
      <c r="G423">
        <v>-4.8127570000000004</v>
      </c>
      <c r="H423">
        <v>-4.4115327000000003E-2</v>
      </c>
      <c r="I423">
        <v>0.51909700000000003</v>
      </c>
      <c r="J423">
        <v>0.52463499999999996</v>
      </c>
      <c r="K423">
        <v>1.0669056999999999E-2</v>
      </c>
      <c r="L423">
        <v>9.2511304999999995E-3</v>
      </c>
      <c r="M423">
        <v>0.95299999999999996</v>
      </c>
      <c r="N423">
        <v>0</v>
      </c>
    </row>
    <row r="424" spans="1:14" x14ac:dyDescent="0.25">
      <c r="A424" t="s">
        <v>143</v>
      </c>
      <c r="B424" t="s">
        <v>160</v>
      </c>
      <c r="C424" t="s">
        <v>14</v>
      </c>
      <c r="D424">
        <v>1</v>
      </c>
      <c r="E424">
        <v>1000</v>
      </c>
      <c r="F424">
        <v>8.6966999999999999</v>
      </c>
      <c r="G424">
        <v>8.7056760000000004</v>
      </c>
      <c r="H424">
        <v>8.9774712999999996E-3</v>
      </c>
      <c r="I424">
        <v>0.30685800000000002</v>
      </c>
      <c r="J424">
        <v>0.30633300000000002</v>
      </c>
      <c r="K424">
        <v>-1.710315E-3</v>
      </c>
      <c r="L424">
        <v>1.032285E-3</v>
      </c>
      <c r="M424">
        <v>0.94799999999999995</v>
      </c>
      <c r="N424">
        <v>0</v>
      </c>
    </row>
    <row r="425" spans="1:14" x14ac:dyDescent="0.25">
      <c r="A425" t="s">
        <v>143</v>
      </c>
      <c r="B425" t="s">
        <v>160</v>
      </c>
      <c r="C425" t="s">
        <v>15</v>
      </c>
      <c r="D425">
        <v>1</v>
      </c>
      <c r="E425">
        <v>1000</v>
      </c>
      <c r="F425">
        <v>-1.6103000000000001</v>
      </c>
      <c r="G425">
        <v>-1.5525199999999999</v>
      </c>
      <c r="H425">
        <v>5.7774858399999997E-2</v>
      </c>
      <c r="I425">
        <v>0.337974</v>
      </c>
      <c r="J425">
        <v>0.330345</v>
      </c>
      <c r="K425">
        <v>-2.2573728000000001E-2</v>
      </c>
      <c r="L425">
        <v>-3.5878440999999997E-2</v>
      </c>
      <c r="M425">
        <v>0.94599999999999995</v>
      </c>
      <c r="N425">
        <v>0</v>
      </c>
    </row>
    <row r="426" spans="1:14" x14ac:dyDescent="0.25">
      <c r="A426" t="s">
        <v>143</v>
      </c>
      <c r="B426" t="s">
        <v>160</v>
      </c>
      <c r="C426" t="s">
        <v>16</v>
      </c>
      <c r="D426">
        <v>1</v>
      </c>
      <c r="E426">
        <v>1000</v>
      </c>
      <c r="F426">
        <v>-7.9151999999999996</v>
      </c>
      <c r="G426">
        <v>-7.9177569999999999</v>
      </c>
      <c r="H426">
        <v>-2.5810970000000001E-3</v>
      </c>
      <c r="I426">
        <v>0.36907600000000002</v>
      </c>
      <c r="J426">
        <v>0.38056600000000002</v>
      </c>
      <c r="K426">
        <v>3.1132704300000001E-2</v>
      </c>
      <c r="L426">
        <v>3.2609469999999999E-4</v>
      </c>
      <c r="M426">
        <v>0.95599999999999996</v>
      </c>
      <c r="N426">
        <v>0</v>
      </c>
    </row>
    <row r="427" spans="1:14" x14ac:dyDescent="0.25">
      <c r="A427" t="s">
        <v>143</v>
      </c>
      <c r="B427" t="s">
        <v>160</v>
      </c>
      <c r="C427" t="s">
        <v>17</v>
      </c>
      <c r="D427">
        <v>1</v>
      </c>
      <c r="E427">
        <v>1000</v>
      </c>
      <c r="F427">
        <v>5.8681000000000001</v>
      </c>
      <c r="G427">
        <v>5.865272</v>
      </c>
      <c r="H427">
        <v>-2.867287E-3</v>
      </c>
      <c r="I427">
        <v>2.3213999999999999E-2</v>
      </c>
      <c r="J427">
        <v>2.3928999999999999E-2</v>
      </c>
      <c r="K427">
        <v>3.07929059E-2</v>
      </c>
      <c r="L427">
        <v>-4.8861900000000003E-4</v>
      </c>
      <c r="M427">
        <v>0.95299999999999996</v>
      </c>
      <c r="N427">
        <v>0</v>
      </c>
    </row>
    <row r="428" spans="1:14" x14ac:dyDescent="0.25">
      <c r="A428" t="s">
        <v>143</v>
      </c>
      <c r="B428" t="s">
        <v>160</v>
      </c>
      <c r="C428" t="s">
        <v>18</v>
      </c>
      <c r="D428">
        <v>1</v>
      </c>
      <c r="E428">
        <v>1000</v>
      </c>
      <c r="F428">
        <v>2.8400000000000002E-2</v>
      </c>
      <c r="G428">
        <v>2.5264999999999999E-2</v>
      </c>
      <c r="H428">
        <v>-3.1517379999999998E-3</v>
      </c>
      <c r="I428">
        <v>1.6396999999999998E-2</v>
      </c>
      <c r="J428">
        <v>1.7708999999999999E-2</v>
      </c>
      <c r="K428">
        <v>8.0011299499999994E-2</v>
      </c>
      <c r="L428">
        <v>-0.11091216499999999</v>
      </c>
      <c r="M428">
        <v>0.95699999999999996</v>
      </c>
      <c r="N428">
        <v>0</v>
      </c>
    </row>
    <row r="429" spans="1:14" x14ac:dyDescent="0.25">
      <c r="A429" t="s">
        <v>143</v>
      </c>
      <c r="B429" t="s">
        <v>161</v>
      </c>
      <c r="C429" t="s">
        <v>12</v>
      </c>
      <c r="D429">
        <v>1</v>
      </c>
      <c r="E429">
        <v>1000</v>
      </c>
      <c r="F429">
        <v>107.0774</v>
      </c>
      <c r="G429">
        <v>107.01070900000001</v>
      </c>
      <c r="H429">
        <v>-6.6699349000000005E-2</v>
      </c>
      <c r="I429">
        <v>1.362779</v>
      </c>
      <c r="J429">
        <v>1.3618619999999999</v>
      </c>
      <c r="K429">
        <v>-6.7302699999999998E-4</v>
      </c>
      <c r="L429">
        <v>-6.2290800000000003E-4</v>
      </c>
      <c r="M429">
        <v>0.94899999999999995</v>
      </c>
      <c r="N429">
        <v>0</v>
      </c>
    </row>
    <row r="430" spans="1:14" x14ac:dyDescent="0.25">
      <c r="A430" t="s">
        <v>143</v>
      </c>
      <c r="B430" t="s">
        <v>161</v>
      </c>
      <c r="C430" t="s">
        <v>13</v>
      </c>
      <c r="D430">
        <v>1</v>
      </c>
      <c r="E430">
        <v>1000</v>
      </c>
      <c r="F430">
        <v>-4.7686000000000002</v>
      </c>
      <c r="G430">
        <v>-4.7304399999999998</v>
      </c>
      <c r="H430">
        <v>3.8201854899999999E-2</v>
      </c>
      <c r="I430">
        <v>0.51760499999999998</v>
      </c>
      <c r="J430">
        <v>0.52352699999999996</v>
      </c>
      <c r="K430">
        <v>1.1440879100000001E-2</v>
      </c>
      <c r="L430">
        <v>-8.0110560000000008E-3</v>
      </c>
      <c r="M430">
        <v>0.95</v>
      </c>
      <c r="N430">
        <v>0</v>
      </c>
    </row>
    <row r="431" spans="1:14" x14ac:dyDescent="0.25">
      <c r="A431" t="s">
        <v>143</v>
      </c>
      <c r="B431" t="s">
        <v>161</v>
      </c>
      <c r="C431" t="s">
        <v>14</v>
      </c>
      <c r="D431">
        <v>1</v>
      </c>
      <c r="E431">
        <v>1000</v>
      </c>
      <c r="F431">
        <v>8.6966999999999999</v>
      </c>
      <c r="G431">
        <v>8.7002649999999999</v>
      </c>
      <c r="H431">
        <v>3.5659607000000002E-3</v>
      </c>
      <c r="I431">
        <v>0.30640200000000001</v>
      </c>
      <c r="J431">
        <v>0.30604199999999998</v>
      </c>
      <c r="K431">
        <v>-1.175447E-3</v>
      </c>
      <c r="L431">
        <v>4.100361E-4</v>
      </c>
      <c r="M431">
        <v>0.95</v>
      </c>
      <c r="N431">
        <v>0</v>
      </c>
    </row>
    <row r="432" spans="1:14" x14ac:dyDescent="0.25">
      <c r="A432" t="s">
        <v>143</v>
      </c>
      <c r="B432" t="s">
        <v>161</v>
      </c>
      <c r="C432" t="s">
        <v>15</v>
      </c>
      <c r="D432">
        <v>1</v>
      </c>
      <c r="E432">
        <v>1000</v>
      </c>
      <c r="F432">
        <v>-1.6103000000000001</v>
      </c>
      <c r="G432">
        <v>-1.602649</v>
      </c>
      <c r="H432">
        <v>7.6459162999999997E-3</v>
      </c>
      <c r="I432">
        <v>0.33703699999999998</v>
      </c>
      <c r="J432">
        <v>0.32970300000000002</v>
      </c>
      <c r="K432">
        <v>-2.1762132999999999E-2</v>
      </c>
      <c r="L432">
        <v>-4.7481479999999998E-3</v>
      </c>
      <c r="M432">
        <v>0.94199999999999995</v>
      </c>
      <c r="N432">
        <v>0</v>
      </c>
    </row>
    <row r="433" spans="1:14" x14ac:dyDescent="0.25">
      <c r="A433" t="s">
        <v>143</v>
      </c>
      <c r="B433" t="s">
        <v>161</v>
      </c>
      <c r="C433" t="s">
        <v>16</v>
      </c>
      <c r="D433">
        <v>1</v>
      </c>
      <c r="E433">
        <v>1000</v>
      </c>
      <c r="F433">
        <v>-7.9151999999999996</v>
      </c>
      <c r="G433">
        <v>-7.9358380000000004</v>
      </c>
      <c r="H433">
        <v>-2.0662514E-2</v>
      </c>
      <c r="I433">
        <v>0.36816399999999999</v>
      </c>
      <c r="J433">
        <v>0.38000600000000001</v>
      </c>
      <c r="K433">
        <v>3.2166099599999998E-2</v>
      </c>
      <c r="L433">
        <v>2.6104934999999999E-3</v>
      </c>
      <c r="M433">
        <v>0.95899999999999996</v>
      </c>
      <c r="N433">
        <v>0</v>
      </c>
    </row>
    <row r="434" spans="1:14" x14ac:dyDescent="0.25">
      <c r="A434" t="s">
        <v>143</v>
      </c>
      <c r="B434" t="s">
        <v>161</v>
      </c>
      <c r="C434" t="s">
        <v>17</v>
      </c>
      <c r="D434">
        <v>1</v>
      </c>
      <c r="E434">
        <v>1000</v>
      </c>
      <c r="F434">
        <v>5.8681000000000001</v>
      </c>
      <c r="G434">
        <v>5.8633199999999999</v>
      </c>
      <c r="H434">
        <v>-4.8187309999999997E-3</v>
      </c>
      <c r="I434">
        <v>2.3215E-2</v>
      </c>
      <c r="J434">
        <v>2.3793999999999999E-2</v>
      </c>
      <c r="K434">
        <v>2.4962937300000002E-2</v>
      </c>
      <c r="L434">
        <v>-8.2116899999999996E-4</v>
      </c>
      <c r="M434">
        <v>0.94499999999999995</v>
      </c>
      <c r="N434">
        <v>0</v>
      </c>
    </row>
    <row r="435" spans="1:14" x14ac:dyDescent="0.25">
      <c r="A435" t="s">
        <v>143</v>
      </c>
      <c r="B435" t="s">
        <v>161</v>
      </c>
      <c r="C435" t="s">
        <v>18</v>
      </c>
      <c r="D435">
        <v>1</v>
      </c>
      <c r="E435">
        <v>1000</v>
      </c>
      <c r="F435">
        <v>2.8400000000000002E-2</v>
      </c>
      <c r="G435">
        <v>2.8201E-2</v>
      </c>
      <c r="H435">
        <v>-2.1526800000000001E-4</v>
      </c>
      <c r="I435">
        <v>1.6195000000000001E-2</v>
      </c>
      <c r="J435">
        <v>1.7479999999999999E-2</v>
      </c>
      <c r="K435">
        <v>7.9313246700000006E-2</v>
      </c>
      <c r="L435">
        <v>-7.5754530000000002E-3</v>
      </c>
      <c r="M435">
        <v>0.96599999999999997</v>
      </c>
      <c r="N435">
        <v>0</v>
      </c>
    </row>
    <row r="436" spans="1:14" x14ac:dyDescent="0.25">
      <c r="A436" t="s">
        <v>143</v>
      </c>
      <c r="B436" t="s">
        <v>339</v>
      </c>
      <c r="C436" t="s">
        <v>12</v>
      </c>
      <c r="D436">
        <v>1</v>
      </c>
      <c r="E436">
        <v>1000</v>
      </c>
      <c r="F436">
        <v>107.0774</v>
      </c>
      <c r="G436">
        <v>107.111051</v>
      </c>
      <c r="H436">
        <v>3.3642199900000003E-2</v>
      </c>
      <c r="I436">
        <v>1.371326</v>
      </c>
      <c r="J436">
        <v>1.358079</v>
      </c>
      <c r="K436">
        <v>-9.660185E-3</v>
      </c>
      <c r="L436">
        <v>3.1418579999999998E-4</v>
      </c>
      <c r="M436">
        <v>0.94599999999999995</v>
      </c>
      <c r="N436">
        <v>0</v>
      </c>
    </row>
    <row r="437" spans="1:14" x14ac:dyDescent="0.25">
      <c r="A437" t="s">
        <v>143</v>
      </c>
      <c r="B437" t="s">
        <v>339</v>
      </c>
      <c r="C437" t="s">
        <v>13</v>
      </c>
      <c r="D437">
        <v>1</v>
      </c>
      <c r="E437">
        <v>1000</v>
      </c>
      <c r="F437">
        <v>-4.7686000000000002</v>
      </c>
      <c r="G437">
        <v>-4.7782720000000003</v>
      </c>
      <c r="H437">
        <v>-9.630731E-3</v>
      </c>
      <c r="I437">
        <v>0.51422199999999996</v>
      </c>
      <c r="J437">
        <v>0.52087000000000006</v>
      </c>
      <c r="K437">
        <v>1.29292396E-2</v>
      </c>
      <c r="L437">
        <v>2.0195962999999999E-3</v>
      </c>
      <c r="M437">
        <v>0.95299999999999996</v>
      </c>
      <c r="N437">
        <v>0</v>
      </c>
    </row>
    <row r="438" spans="1:14" x14ac:dyDescent="0.25">
      <c r="A438" t="s">
        <v>143</v>
      </c>
      <c r="B438" t="s">
        <v>339</v>
      </c>
      <c r="C438" t="s">
        <v>14</v>
      </c>
      <c r="D438">
        <v>1</v>
      </c>
      <c r="E438">
        <v>1000</v>
      </c>
      <c r="F438">
        <v>8.6966999999999999</v>
      </c>
      <c r="G438">
        <v>8.6950559999999992</v>
      </c>
      <c r="H438">
        <v>-1.6428549999999999E-3</v>
      </c>
      <c r="I438">
        <v>0.31199700000000002</v>
      </c>
      <c r="J438">
        <v>0.30591299999999999</v>
      </c>
      <c r="K438">
        <v>-1.9501244000000001E-2</v>
      </c>
      <c r="L438">
        <v>-1.88906E-4</v>
      </c>
      <c r="M438">
        <v>0.94499999999999995</v>
      </c>
      <c r="N438">
        <v>0</v>
      </c>
    </row>
    <row r="439" spans="1:14" x14ac:dyDescent="0.25">
      <c r="A439" t="s">
        <v>143</v>
      </c>
      <c r="B439" t="s">
        <v>339</v>
      </c>
      <c r="C439" t="s">
        <v>15</v>
      </c>
      <c r="D439">
        <v>1</v>
      </c>
      <c r="E439">
        <v>1000</v>
      </c>
      <c r="F439">
        <v>-1.6103000000000001</v>
      </c>
      <c r="G439">
        <v>-1.6152</v>
      </c>
      <c r="H439">
        <v>-4.9050999999999999E-3</v>
      </c>
      <c r="I439">
        <v>0.32855099999999998</v>
      </c>
      <c r="J439">
        <v>0.32967099999999999</v>
      </c>
      <c r="K439">
        <v>3.4092504000000001E-3</v>
      </c>
      <c r="L439">
        <v>3.0460889000000001E-3</v>
      </c>
      <c r="M439">
        <v>0.95</v>
      </c>
      <c r="N439">
        <v>0</v>
      </c>
    </row>
    <row r="440" spans="1:14" x14ac:dyDescent="0.25">
      <c r="A440" t="s">
        <v>143</v>
      </c>
      <c r="B440" t="s">
        <v>339</v>
      </c>
      <c r="C440" t="s">
        <v>16</v>
      </c>
      <c r="D440">
        <v>1</v>
      </c>
      <c r="E440">
        <v>1000</v>
      </c>
      <c r="F440">
        <v>-7.9151999999999996</v>
      </c>
      <c r="G440">
        <v>-7.9295109999999998</v>
      </c>
      <c r="H440">
        <v>-1.4335831E-2</v>
      </c>
      <c r="I440">
        <v>0.36976300000000001</v>
      </c>
      <c r="J440">
        <v>0.37966299999999997</v>
      </c>
      <c r="K440">
        <v>2.6775060900000001E-2</v>
      </c>
      <c r="L440">
        <v>1.8111830000000001E-3</v>
      </c>
      <c r="M440">
        <v>0.95499999999999996</v>
      </c>
      <c r="N440">
        <v>0</v>
      </c>
    </row>
    <row r="441" spans="1:14" x14ac:dyDescent="0.25">
      <c r="A441" t="s">
        <v>143</v>
      </c>
      <c r="B441" t="s">
        <v>339</v>
      </c>
      <c r="C441" t="s">
        <v>17</v>
      </c>
      <c r="D441">
        <v>1</v>
      </c>
      <c r="E441">
        <v>1000</v>
      </c>
      <c r="F441">
        <v>5.8681000000000001</v>
      </c>
      <c r="G441">
        <v>5.8695959999999996</v>
      </c>
      <c r="H441">
        <v>1.4571045E-3</v>
      </c>
      <c r="I441">
        <v>2.2498000000000001E-2</v>
      </c>
      <c r="J441">
        <v>2.3293000000000001E-2</v>
      </c>
      <c r="K441">
        <v>3.53445618E-2</v>
      </c>
      <c r="L441">
        <v>2.4830780000000002E-4</v>
      </c>
      <c r="M441">
        <v>0.96299999999999997</v>
      </c>
      <c r="N441">
        <v>0</v>
      </c>
    </row>
    <row r="442" spans="1:14" x14ac:dyDescent="0.25">
      <c r="A442" t="s">
        <v>143</v>
      </c>
      <c r="B442" t="s">
        <v>339</v>
      </c>
      <c r="C442" t="s">
        <v>18</v>
      </c>
      <c r="D442">
        <v>1</v>
      </c>
      <c r="E442">
        <v>1000</v>
      </c>
      <c r="F442">
        <v>2.8400000000000002E-2</v>
      </c>
      <c r="G442">
        <v>2.7983000000000001E-2</v>
      </c>
      <c r="H442">
        <v>-4.33051E-4</v>
      </c>
      <c r="I442">
        <v>1.6251000000000002E-2</v>
      </c>
      <c r="J442">
        <v>1.7087000000000001E-2</v>
      </c>
      <c r="K442">
        <v>5.1465749999999998E-2</v>
      </c>
      <c r="L442">
        <v>-1.5239394999999999E-2</v>
      </c>
      <c r="M442">
        <v>0.95799999999999996</v>
      </c>
      <c r="N442">
        <v>0</v>
      </c>
    </row>
    <row r="443" spans="1:14" x14ac:dyDescent="0.25">
      <c r="A443" t="s">
        <v>143</v>
      </c>
      <c r="B443" t="s">
        <v>340</v>
      </c>
      <c r="C443" t="s">
        <v>12</v>
      </c>
      <c r="D443">
        <v>1</v>
      </c>
      <c r="E443">
        <v>1000</v>
      </c>
      <c r="F443">
        <v>107.0774</v>
      </c>
      <c r="G443">
        <v>107.115291</v>
      </c>
      <c r="H443">
        <v>3.7882011700000003E-2</v>
      </c>
      <c r="I443">
        <v>1.368841</v>
      </c>
      <c r="J443">
        <v>1.3574269999999999</v>
      </c>
      <c r="K443">
        <v>-8.3383669999999993E-3</v>
      </c>
      <c r="L443">
        <v>3.5378159999999999E-4</v>
      </c>
      <c r="M443">
        <v>0.94399999999999995</v>
      </c>
      <c r="N443">
        <v>0</v>
      </c>
    </row>
    <row r="444" spans="1:14" x14ac:dyDescent="0.25">
      <c r="A444" t="s">
        <v>143</v>
      </c>
      <c r="B444" t="s">
        <v>340</v>
      </c>
      <c r="C444" t="s">
        <v>13</v>
      </c>
      <c r="D444">
        <v>1</v>
      </c>
      <c r="E444">
        <v>1000</v>
      </c>
      <c r="F444">
        <v>-4.7686000000000002</v>
      </c>
      <c r="G444">
        <v>-4.7765170000000001</v>
      </c>
      <c r="H444">
        <v>-7.8750209999999994E-3</v>
      </c>
      <c r="I444">
        <v>0.51303600000000005</v>
      </c>
      <c r="J444">
        <v>0.52059599999999995</v>
      </c>
      <c r="K444">
        <v>1.47368877E-2</v>
      </c>
      <c r="L444">
        <v>1.651418E-3</v>
      </c>
      <c r="M444">
        <v>0.95599999999999996</v>
      </c>
      <c r="N444">
        <v>0</v>
      </c>
    </row>
    <row r="445" spans="1:14" x14ac:dyDescent="0.25">
      <c r="A445" t="s">
        <v>143</v>
      </c>
      <c r="B445" t="s">
        <v>340</v>
      </c>
      <c r="C445" t="s">
        <v>14</v>
      </c>
      <c r="D445">
        <v>1</v>
      </c>
      <c r="E445">
        <v>1000</v>
      </c>
      <c r="F445">
        <v>8.6966999999999999</v>
      </c>
      <c r="G445">
        <v>8.6950240000000001</v>
      </c>
      <c r="H445">
        <v>-1.6749340000000001E-3</v>
      </c>
      <c r="I445">
        <v>0.31190600000000002</v>
      </c>
      <c r="J445">
        <v>0.30589899999999998</v>
      </c>
      <c r="K445">
        <v>-1.9259602000000001E-2</v>
      </c>
      <c r="L445">
        <v>-1.9259400000000001E-4</v>
      </c>
      <c r="M445">
        <v>0.94499999999999995</v>
      </c>
      <c r="N445">
        <v>0</v>
      </c>
    </row>
    <row r="446" spans="1:14" x14ac:dyDescent="0.25">
      <c r="A446" t="s">
        <v>143</v>
      </c>
      <c r="B446" t="s">
        <v>340</v>
      </c>
      <c r="C446" t="s">
        <v>15</v>
      </c>
      <c r="D446">
        <v>1</v>
      </c>
      <c r="E446">
        <v>1000</v>
      </c>
      <c r="F446">
        <v>-1.6103000000000001</v>
      </c>
      <c r="G446">
        <v>-1.615143</v>
      </c>
      <c r="H446">
        <v>-4.8481699999999997E-3</v>
      </c>
      <c r="I446">
        <v>0.32748300000000002</v>
      </c>
      <c r="J446">
        <v>0.32931100000000002</v>
      </c>
      <c r="K446">
        <v>5.5815049E-3</v>
      </c>
      <c r="L446">
        <v>3.0107350000000001E-3</v>
      </c>
      <c r="M446">
        <v>0.94899999999999995</v>
      </c>
      <c r="N446">
        <v>0</v>
      </c>
    </row>
    <row r="447" spans="1:14" x14ac:dyDescent="0.25">
      <c r="A447" t="s">
        <v>143</v>
      </c>
      <c r="B447" t="s">
        <v>340</v>
      </c>
      <c r="C447" t="s">
        <v>16</v>
      </c>
      <c r="D447">
        <v>1</v>
      </c>
      <c r="E447">
        <v>1000</v>
      </c>
      <c r="F447">
        <v>-7.9151999999999996</v>
      </c>
      <c r="G447">
        <v>-7.929589</v>
      </c>
      <c r="H447">
        <v>-1.4413722E-2</v>
      </c>
      <c r="I447">
        <v>0.36970599999999998</v>
      </c>
      <c r="J447">
        <v>0.37963200000000002</v>
      </c>
      <c r="K447">
        <v>2.6850779200000001E-2</v>
      </c>
      <c r="L447">
        <v>1.8210235999999999E-3</v>
      </c>
      <c r="M447">
        <v>0.95599999999999996</v>
      </c>
      <c r="N447">
        <v>0</v>
      </c>
    </row>
    <row r="448" spans="1:14" x14ac:dyDescent="0.25">
      <c r="A448" t="s">
        <v>143</v>
      </c>
      <c r="B448" t="s">
        <v>340</v>
      </c>
      <c r="C448" t="s">
        <v>17</v>
      </c>
      <c r="D448">
        <v>1</v>
      </c>
      <c r="E448">
        <v>1000</v>
      </c>
      <c r="F448">
        <v>5.8681000000000001</v>
      </c>
      <c r="G448">
        <v>5.8698519999999998</v>
      </c>
      <c r="H448">
        <v>1.7133612999999999E-3</v>
      </c>
      <c r="I448">
        <v>2.2494E-2</v>
      </c>
      <c r="J448">
        <v>2.3269999999999999E-2</v>
      </c>
      <c r="K448">
        <v>3.4522599100000002E-2</v>
      </c>
      <c r="L448">
        <v>2.9197689999999998E-4</v>
      </c>
      <c r="M448">
        <v>0.96199999999999997</v>
      </c>
      <c r="N448">
        <v>0</v>
      </c>
    </row>
    <row r="449" spans="1:14" x14ac:dyDescent="0.25">
      <c r="A449" t="s">
        <v>143</v>
      </c>
      <c r="B449" t="s">
        <v>340</v>
      </c>
      <c r="C449" t="s">
        <v>18</v>
      </c>
      <c r="D449">
        <v>1</v>
      </c>
      <c r="E449">
        <v>1000</v>
      </c>
      <c r="F449">
        <v>2.8400000000000002E-2</v>
      </c>
      <c r="G449">
        <v>2.7800999999999999E-2</v>
      </c>
      <c r="H449">
        <v>-6.1530700000000005E-4</v>
      </c>
      <c r="I449">
        <v>1.6239E-2</v>
      </c>
      <c r="J449">
        <v>1.7066000000000001E-2</v>
      </c>
      <c r="K449">
        <v>5.0961368299999997E-2</v>
      </c>
      <c r="L449">
        <v>-2.1653148000000001E-2</v>
      </c>
      <c r="M449">
        <v>0.96</v>
      </c>
      <c r="N449">
        <v>0</v>
      </c>
    </row>
    <row r="450" spans="1:14" x14ac:dyDescent="0.25">
      <c r="A450" t="s">
        <v>143</v>
      </c>
      <c r="B450" t="s">
        <v>341</v>
      </c>
      <c r="C450" t="s">
        <v>12</v>
      </c>
      <c r="D450">
        <v>1</v>
      </c>
      <c r="E450">
        <v>1000</v>
      </c>
      <c r="F450">
        <v>3.1354000000000002</v>
      </c>
      <c r="G450">
        <v>2.8573719999999998</v>
      </c>
      <c r="H450">
        <v>-0.278019242</v>
      </c>
      <c r="I450">
        <v>0.18451400000000001</v>
      </c>
      <c r="J450">
        <v>0.177678</v>
      </c>
      <c r="K450">
        <v>-3.7048315999999998E-2</v>
      </c>
      <c r="L450">
        <v>-8.8671314000000001E-2</v>
      </c>
      <c r="M450">
        <v>0.66400000000000003</v>
      </c>
      <c r="N450">
        <v>0</v>
      </c>
    </row>
    <row r="451" spans="1:14" x14ac:dyDescent="0.25">
      <c r="A451" t="s">
        <v>143</v>
      </c>
      <c r="B451" t="s">
        <v>341</v>
      </c>
      <c r="C451" t="s">
        <v>13</v>
      </c>
      <c r="D451">
        <v>1</v>
      </c>
      <c r="E451">
        <v>1000</v>
      </c>
      <c r="F451">
        <v>-0.44119999999999998</v>
      </c>
      <c r="G451">
        <v>-0.50186699999999995</v>
      </c>
      <c r="H451">
        <v>-6.0660614000000002E-2</v>
      </c>
      <c r="I451">
        <v>6.9795999999999997E-2</v>
      </c>
      <c r="J451">
        <v>6.7989999999999995E-2</v>
      </c>
      <c r="K451">
        <v>-2.5879583000000001E-2</v>
      </c>
      <c r="L451">
        <v>0.13748810280000001</v>
      </c>
      <c r="M451">
        <v>0.85799999999999998</v>
      </c>
      <c r="N451">
        <v>0</v>
      </c>
    </row>
    <row r="452" spans="1:14" x14ac:dyDescent="0.25">
      <c r="A452" t="s">
        <v>143</v>
      </c>
      <c r="B452" t="s">
        <v>341</v>
      </c>
      <c r="C452" t="s">
        <v>14</v>
      </c>
      <c r="D452">
        <v>1</v>
      </c>
      <c r="E452">
        <v>1000</v>
      </c>
      <c r="F452">
        <v>-7.3000000000000001E-3</v>
      </c>
      <c r="G452">
        <v>-8.7819999999999999E-3</v>
      </c>
      <c r="H452">
        <v>-1.468067E-3</v>
      </c>
      <c r="I452">
        <v>3.5800999999999999E-2</v>
      </c>
      <c r="J452">
        <v>3.9300000000000002E-2</v>
      </c>
      <c r="K452">
        <v>9.7744886500000003E-2</v>
      </c>
      <c r="L452">
        <v>0.20072098620000001</v>
      </c>
      <c r="M452">
        <v>0.97299999999999998</v>
      </c>
      <c r="N452">
        <v>0</v>
      </c>
    </row>
    <row r="453" spans="1:14" x14ac:dyDescent="0.25">
      <c r="A453" t="s">
        <v>143</v>
      </c>
      <c r="B453" t="s">
        <v>341</v>
      </c>
      <c r="C453" t="s">
        <v>15</v>
      </c>
      <c r="D453">
        <v>1</v>
      </c>
      <c r="E453">
        <v>1000</v>
      </c>
      <c r="F453">
        <v>-0.45419999999999999</v>
      </c>
      <c r="G453">
        <v>-0.37579299999999999</v>
      </c>
      <c r="H453">
        <v>7.8394661399999996E-2</v>
      </c>
      <c r="I453">
        <v>4.3583999999999998E-2</v>
      </c>
      <c r="J453">
        <v>4.2139000000000003E-2</v>
      </c>
      <c r="K453">
        <v>-3.3155455E-2</v>
      </c>
      <c r="L453">
        <v>-0.17260397</v>
      </c>
      <c r="M453">
        <v>0.56699999999999995</v>
      </c>
      <c r="N453">
        <v>0</v>
      </c>
    </row>
    <row r="454" spans="1:14" x14ac:dyDescent="0.25">
      <c r="A454" t="s">
        <v>143</v>
      </c>
      <c r="B454" t="s">
        <v>341</v>
      </c>
      <c r="C454" t="s">
        <v>16</v>
      </c>
      <c r="D454">
        <v>1</v>
      </c>
      <c r="E454">
        <v>1000</v>
      </c>
      <c r="F454">
        <v>-8.2500000000000004E-2</v>
      </c>
      <c r="G454">
        <v>-8.2637000000000002E-2</v>
      </c>
      <c r="H454">
        <v>-9.4961000000000001E-5</v>
      </c>
      <c r="I454">
        <v>4.6428999999999998E-2</v>
      </c>
      <c r="J454">
        <v>5.0404999999999998E-2</v>
      </c>
      <c r="K454">
        <v>8.5636171600000005E-2</v>
      </c>
      <c r="L454">
        <v>1.1504505999999999E-3</v>
      </c>
      <c r="M454">
        <v>0.96499999999999997</v>
      </c>
      <c r="N454">
        <v>0</v>
      </c>
    </row>
    <row r="455" spans="1:14" x14ac:dyDescent="0.25">
      <c r="A455" t="s">
        <v>143</v>
      </c>
      <c r="B455" t="s">
        <v>341</v>
      </c>
      <c r="C455" t="s">
        <v>17</v>
      </c>
      <c r="D455">
        <v>1</v>
      </c>
      <c r="E455">
        <v>1000</v>
      </c>
      <c r="F455">
        <v>-0.12590000000000001</v>
      </c>
      <c r="G455">
        <v>-0.13537399999999999</v>
      </c>
      <c r="H455">
        <v>-9.4278869999999994E-3</v>
      </c>
      <c r="I455">
        <v>4.4759999999999999E-3</v>
      </c>
      <c r="J455">
        <v>4.5189999999999996E-3</v>
      </c>
      <c r="K455">
        <v>9.5396296000000002E-3</v>
      </c>
      <c r="L455">
        <v>7.48564112E-2</v>
      </c>
      <c r="M455">
        <v>0.499</v>
      </c>
      <c r="N455">
        <v>0</v>
      </c>
    </row>
    <row r="456" spans="1:14" x14ac:dyDescent="0.25">
      <c r="A456" t="s">
        <v>143</v>
      </c>
      <c r="B456" t="s">
        <v>341</v>
      </c>
      <c r="C456" t="s">
        <v>18</v>
      </c>
      <c r="D456">
        <v>1</v>
      </c>
      <c r="E456">
        <v>1000</v>
      </c>
      <c r="F456">
        <v>-6.9999999999999999E-4</v>
      </c>
      <c r="G456">
        <v>-1.346E-3</v>
      </c>
      <c r="H456">
        <v>-6.3847000000000003E-4</v>
      </c>
      <c r="I456">
        <v>2.2550000000000001E-3</v>
      </c>
      <c r="J456">
        <v>2.349E-3</v>
      </c>
      <c r="K456">
        <v>4.1636460299999997E-2</v>
      </c>
      <c r="L456">
        <v>0.90216136800000002</v>
      </c>
      <c r="M456">
        <v>0.95299999999999996</v>
      </c>
      <c r="N456">
        <v>0</v>
      </c>
    </row>
    <row r="457" spans="1:14" x14ac:dyDescent="0.25">
      <c r="A457" t="s">
        <v>143</v>
      </c>
      <c r="B457" t="s">
        <v>342</v>
      </c>
      <c r="C457" t="s">
        <v>12</v>
      </c>
      <c r="D457">
        <v>1</v>
      </c>
      <c r="E457">
        <v>1000</v>
      </c>
      <c r="F457">
        <v>3.1354000000000002</v>
      </c>
      <c r="G457">
        <v>2.9592619999999998</v>
      </c>
      <c r="H457">
        <v>-0.17612868000000001</v>
      </c>
      <c r="I457">
        <v>0.18088399999999999</v>
      </c>
      <c r="J457">
        <v>0.17891699999999999</v>
      </c>
      <c r="K457">
        <v>-1.0873977E-2</v>
      </c>
      <c r="L457">
        <v>-5.6174390999999997E-2</v>
      </c>
      <c r="M457">
        <v>0.83899999999999997</v>
      </c>
      <c r="N457">
        <v>0</v>
      </c>
    </row>
    <row r="458" spans="1:14" x14ac:dyDescent="0.25">
      <c r="A458" t="s">
        <v>143</v>
      </c>
      <c r="B458" t="s">
        <v>342</v>
      </c>
      <c r="C458" t="s">
        <v>13</v>
      </c>
      <c r="D458">
        <v>1</v>
      </c>
      <c r="E458">
        <v>1000</v>
      </c>
      <c r="F458">
        <v>-0.44119999999999998</v>
      </c>
      <c r="G458">
        <v>-0.39801199999999998</v>
      </c>
      <c r="H458">
        <v>4.3194704399999999E-2</v>
      </c>
      <c r="I458">
        <v>6.8894999999999998E-2</v>
      </c>
      <c r="J458">
        <v>6.9377999999999995E-2</v>
      </c>
      <c r="K458">
        <v>7.0223713E-3</v>
      </c>
      <c r="L458">
        <v>-9.7901381999999995E-2</v>
      </c>
      <c r="M458">
        <v>0.90200000000000002</v>
      </c>
      <c r="N458">
        <v>0</v>
      </c>
    </row>
    <row r="459" spans="1:14" x14ac:dyDescent="0.25">
      <c r="A459" t="s">
        <v>143</v>
      </c>
      <c r="B459" t="s">
        <v>342</v>
      </c>
      <c r="C459" t="s">
        <v>14</v>
      </c>
      <c r="D459">
        <v>1</v>
      </c>
      <c r="E459">
        <v>1000</v>
      </c>
      <c r="F459">
        <v>-7.3000000000000001E-3</v>
      </c>
      <c r="G459">
        <v>-1.5594E-2</v>
      </c>
      <c r="H459">
        <v>-8.2795430000000003E-3</v>
      </c>
      <c r="I459">
        <v>3.5694999999999998E-2</v>
      </c>
      <c r="J459">
        <v>3.9579000000000003E-2</v>
      </c>
      <c r="K459">
        <v>0.10880025359999999</v>
      </c>
      <c r="L459">
        <v>1.1320178491999999</v>
      </c>
      <c r="M459">
        <v>0.96499999999999997</v>
      </c>
      <c r="N459">
        <v>0</v>
      </c>
    </row>
    <row r="460" spans="1:14" x14ac:dyDescent="0.25">
      <c r="A460" t="s">
        <v>143</v>
      </c>
      <c r="B460" t="s">
        <v>342</v>
      </c>
      <c r="C460" t="s">
        <v>15</v>
      </c>
      <c r="D460">
        <v>1</v>
      </c>
      <c r="E460">
        <v>1000</v>
      </c>
      <c r="F460">
        <v>-0.45419999999999999</v>
      </c>
      <c r="G460">
        <v>-0.429008</v>
      </c>
      <c r="H460">
        <v>2.51798458E-2</v>
      </c>
      <c r="I460">
        <v>4.2603000000000002E-2</v>
      </c>
      <c r="J460">
        <v>4.2816E-2</v>
      </c>
      <c r="K460">
        <v>4.9932346999999998E-3</v>
      </c>
      <c r="L460">
        <v>-5.5439251000000002E-2</v>
      </c>
      <c r="M460">
        <v>0.91400000000000003</v>
      </c>
      <c r="N460">
        <v>0</v>
      </c>
    </row>
    <row r="461" spans="1:14" x14ac:dyDescent="0.25">
      <c r="A461" t="s">
        <v>143</v>
      </c>
      <c r="B461" t="s">
        <v>342</v>
      </c>
      <c r="C461" t="s">
        <v>16</v>
      </c>
      <c r="D461">
        <v>1</v>
      </c>
      <c r="E461">
        <v>1000</v>
      </c>
      <c r="F461">
        <v>-8.2500000000000004E-2</v>
      </c>
      <c r="G461">
        <v>-0.10448</v>
      </c>
      <c r="H461">
        <v>-2.1937137999999998E-2</v>
      </c>
      <c r="I461">
        <v>4.6195E-2</v>
      </c>
      <c r="J461">
        <v>5.0931999999999998E-2</v>
      </c>
      <c r="K461">
        <v>0.102554241</v>
      </c>
      <c r="L461">
        <v>0.26576807720000001</v>
      </c>
      <c r="M461">
        <v>0.95399999999999996</v>
      </c>
      <c r="N461">
        <v>0</v>
      </c>
    </row>
    <row r="462" spans="1:14" x14ac:dyDescent="0.25">
      <c r="A462" t="s">
        <v>143</v>
      </c>
      <c r="B462" t="s">
        <v>342</v>
      </c>
      <c r="C462" t="s">
        <v>17</v>
      </c>
      <c r="D462">
        <v>1</v>
      </c>
      <c r="E462">
        <v>1000</v>
      </c>
      <c r="F462">
        <v>-0.12590000000000001</v>
      </c>
      <c r="G462">
        <v>-0.135907</v>
      </c>
      <c r="H462">
        <v>-9.9605059999999992E-3</v>
      </c>
      <c r="I462">
        <v>4.3940000000000003E-3</v>
      </c>
      <c r="J462">
        <v>4.4770000000000001E-3</v>
      </c>
      <c r="K462">
        <v>1.8817608E-2</v>
      </c>
      <c r="L462">
        <v>7.9085346900000006E-2</v>
      </c>
      <c r="M462">
        <v>0.46200000000000002</v>
      </c>
      <c r="N462">
        <v>0</v>
      </c>
    </row>
    <row r="463" spans="1:14" x14ac:dyDescent="0.25">
      <c r="A463" t="s">
        <v>143</v>
      </c>
      <c r="B463" t="s">
        <v>342</v>
      </c>
      <c r="C463" t="s">
        <v>18</v>
      </c>
      <c r="D463">
        <v>1</v>
      </c>
      <c r="E463">
        <v>1000</v>
      </c>
      <c r="F463">
        <v>-6.9999999999999999E-4</v>
      </c>
      <c r="G463">
        <v>1.3300000000000001E-4</v>
      </c>
      <c r="H463">
        <v>8.4077550000000005E-4</v>
      </c>
      <c r="I463">
        <v>2.1320000000000002E-3</v>
      </c>
      <c r="J463">
        <v>2.2539999999999999E-3</v>
      </c>
      <c r="K463">
        <v>5.7379098500000003E-2</v>
      </c>
      <c r="L463">
        <v>-1.188019967</v>
      </c>
      <c r="M463">
        <v>0.95099999999999996</v>
      </c>
      <c r="N463">
        <v>0</v>
      </c>
    </row>
    <row r="464" spans="1:14" x14ac:dyDescent="0.25">
      <c r="A464" t="s">
        <v>143</v>
      </c>
      <c r="B464" t="s">
        <v>343</v>
      </c>
      <c r="C464" t="s">
        <v>12</v>
      </c>
      <c r="D464">
        <v>1</v>
      </c>
      <c r="E464">
        <v>1000</v>
      </c>
      <c r="F464">
        <v>3.1354000000000002</v>
      </c>
      <c r="G464">
        <v>3.1243979999999998</v>
      </c>
      <c r="H464">
        <v>-1.0992616E-2</v>
      </c>
      <c r="I464">
        <v>0.17738799999999999</v>
      </c>
      <c r="J464">
        <v>0.17388799999999999</v>
      </c>
      <c r="K464">
        <v>-1.9728599999999999E-2</v>
      </c>
      <c r="L464">
        <v>-3.5059790000000002E-3</v>
      </c>
      <c r="M464">
        <v>0.94899999999999995</v>
      </c>
      <c r="N464">
        <v>0</v>
      </c>
    </row>
    <row r="465" spans="1:14" x14ac:dyDescent="0.25">
      <c r="A465" t="s">
        <v>143</v>
      </c>
      <c r="B465" t="s">
        <v>343</v>
      </c>
      <c r="C465" t="s">
        <v>13</v>
      </c>
      <c r="D465">
        <v>1</v>
      </c>
      <c r="E465">
        <v>1000</v>
      </c>
      <c r="F465">
        <v>-0.44119999999999998</v>
      </c>
      <c r="G465">
        <v>-0.462426</v>
      </c>
      <c r="H465">
        <v>-2.1219267E-2</v>
      </c>
      <c r="I465">
        <v>6.6830000000000001E-2</v>
      </c>
      <c r="J465">
        <v>6.5257999999999997E-2</v>
      </c>
      <c r="K465">
        <v>-2.3523168000000001E-2</v>
      </c>
      <c r="L465">
        <v>4.8093756100000003E-2</v>
      </c>
      <c r="M465">
        <v>0.92700000000000005</v>
      </c>
      <c r="N465">
        <v>0</v>
      </c>
    </row>
    <row r="466" spans="1:14" x14ac:dyDescent="0.25">
      <c r="A466" t="s">
        <v>143</v>
      </c>
      <c r="B466" t="s">
        <v>343</v>
      </c>
      <c r="C466" t="s">
        <v>14</v>
      </c>
      <c r="D466">
        <v>1</v>
      </c>
      <c r="E466">
        <v>1000</v>
      </c>
      <c r="F466">
        <v>-7.3000000000000001E-3</v>
      </c>
      <c r="G466">
        <v>-8.5939999999999992E-3</v>
      </c>
      <c r="H466">
        <v>-1.280011E-3</v>
      </c>
      <c r="I466">
        <v>3.5837000000000001E-2</v>
      </c>
      <c r="J466">
        <v>3.9100999999999997E-2</v>
      </c>
      <c r="K466">
        <v>9.1064713399999997E-2</v>
      </c>
      <c r="L466">
        <v>0.1750090674</v>
      </c>
      <c r="M466">
        <v>0.97399999999999998</v>
      </c>
      <c r="N466">
        <v>0</v>
      </c>
    </row>
    <row r="467" spans="1:14" x14ac:dyDescent="0.25">
      <c r="A467" t="s">
        <v>143</v>
      </c>
      <c r="B467" t="s">
        <v>343</v>
      </c>
      <c r="C467" t="s">
        <v>15</v>
      </c>
      <c r="D467">
        <v>1</v>
      </c>
      <c r="E467">
        <v>1000</v>
      </c>
      <c r="F467">
        <v>-0.45419999999999999</v>
      </c>
      <c r="G467">
        <v>-0.44975100000000001</v>
      </c>
      <c r="H467">
        <v>4.4373403999999998E-3</v>
      </c>
      <c r="I467">
        <v>4.2983E-2</v>
      </c>
      <c r="J467">
        <v>4.1779999999999998E-2</v>
      </c>
      <c r="K467">
        <v>-2.7984723E-2</v>
      </c>
      <c r="L467">
        <v>-9.7698309999999997E-3</v>
      </c>
      <c r="M467">
        <v>0.93400000000000005</v>
      </c>
      <c r="N467">
        <v>0</v>
      </c>
    </row>
    <row r="468" spans="1:14" x14ac:dyDescent="0.25">
      <c r="A468" t="s">
        <v>143</v>
      </c>
      <c r="B468" t="s">
        <v>343</v>
      </c>
      <c r="C468" t="s">
        <v>16</v>
      </c>
      <c r="D468">
        <v>1</v>
      </c>
      <c r="E468">
        <v>1000</v>
      </c>
      <c r="F468">
        <v>-8.2500000000000004E-2</v>
      </c>
      <c r="G468">
        <v>-8.6106000000000002E-2</v>
      </c>
      <c r="H468">
        <v>-3.5633349999999999E-3</v>
      </c>
      <c r="I468">
        <v>4.7548E-2</v>
      </c>
      <c r="J468">
        <v>4.9452000000000003E-2</v>
      </c>
      <c r="K468">
        <v>4.0053671700000001E-2</v>
      </c>
      <c r="L468">
        <v>4.3169751100000001E-2</v>
      </c>
      <c r="M468">
        <v>0.96</v>
      </c>
      <c r="N468">
        <v>0</v>
      </c>
    </row>
    <row r="469" spans="1:14" x14ac:dyDescent="0.25">
      <c r="A469" t="s">
        <v>143</v>
      </c>
      <c r="B469" t="s">
        <v>343</v>
      </c>
      <c r="C469" t="s">
        <v>17</v>
      </c>
      <c r="D469">
        <v>1</v>
      </c>
      <c r="E469">
        <v>1000</v>
      </c>
      <c r="F469">
        <v>-0.12590000000000001</v>
      </c>
      <c r="G469">
        <v>-0.12446699999999999</v>
      </c>
      <c r="H469">
        <v>1.4788226000000001E-3</v>
      </c>
      <c r="I469">
        <v>4.1190000000000003E-3</v>
      </c>
      <c r="J469">
        <v>4.2079999999999999E-3</v>
      </c>
      <c r="K469">
        <v>2.1676838399999999E-2</v>
      </c>
      <c r="L469">
        <v>-1.1741692999999999E-2</v>
      </c>
      <c r="M469">
        <v>0.94299999999999995</v>
      </c>
      <c r="N469">
        <v>0</v>
      </c>
    </row>
    <row r="470" spans="1:14" x14ac:dyDescent="0.25">
      <c r="A470" t="s">
        <v>143</v>
      </c>
      <c r="B470" t="s">
        <v>343</v>
      </c>
      <c r="C470" t="s">
        <v>18</v>
      </c>
      <c r="D470">
        <v>1</v>
      </c>
      <c r="E470">
        <v>1000</v>
      </c>
      <c r="F470">
        <v>-6.9999999999999999E-4</v>
      </c>
      <c r="G470">
        <v>-8.5999999999999998E-4</v>
      </c>
      <c r="H470">
        <v>-1.5264599999999999E-4</v>
      </c>
      <c r="I470">
        <v>2.0720000000000001E-3</v>
      </c>
      <c r="J470">
        <v>2.1919999999999999E-3</v>
      </c>
      <c r="K470">
        <v>5.8080011399999999E-2</v>
      </c>
      <c r="L470">
        <v>0.21568931860000001</v>
      </c>
      <c r="M470">
        <v>0.96399999999999997</v>
      </c>
      <c r="N470">
        <v>0</v>
      </c>
    </row>
    <row r="471" spans="1:14" x14ac:dyDescent="0.25">
      <c r="A471" t="s">
        <v>143</v>
      </c>
      <c r="B471" t="s">
        <v>344</v>
      </c>
      <c r="C471" t="s">
        <v>12</v>
      </c>
      <c r="D471">
        <v>1</v>
      </c>
      <c r="E471">
        <v>1000</v>
      </c>
      <c r="F471">
        <v>3.1354000000000002</v>
      </c>
      <c r="G471">
        <v>3.1270639999999998</v>
      </c>
      <c r="H471">
        <v>-8.3268460000000006E-3</v>
      </c>
      <c r="I471">
        <v>0.17699500000000001</v>
      </c>
      <c r="J471">
        <v>0.173342</v>
      </c>
      <c r="K471">
        <v>-2.0638275000000001E-2</v>
      </c>
      <c r="L471">
        <v>-2.6557600000000001E-3</v>
      </c>
      <c r="M471">
        <v>0.94799999999999995</v>
      </c>
      <c r="N471">
        <v>0</v>
      </c>
    </row>
    <row r="472" spans="1:14" x14ac:dyDescent="0.25">
      <c r="A472" t="s">
        <v>143</v>
      </c>
      <c r="B472" t="s">
        <v>344</v>
      </c>
      <c r="C472" t="s">
        <v>13</v>
      </c>
      <c r="D472">
        <v>1</v>
      </c>
      <c r="E472">
        <v>1000</v>
      </c>
      <c r="F472">
        <v>-0.44119999999999998</v>
      </c>
      <c r="G472">
        <v>-0.46162599999999998</v>
      </c>
      <c r="H472">
        <v>-2.0419333000000001E-2</v>
      </c>
      <c r="I472">
        <v>6.6502000000000006E-2</v>
      </c>
      <c r="J472">
        <v>6.4954999999999999E-2</v>
      </c>
      <c r="K472">
        <v>-2.3257107999999999E-2</v>
      </c>
      <c r="L472">
        <v>4.6280693800000001E-2</v>
      </c>
      <c r="M472">
        <v>0.92900000000000005</v>
      </c>
      <c r="N472">
        <v>0</v>
      </c>
    </row>
    <row r="473" spans="1:14" x14ac:dyDescent="0.25">
      <c r="A473" t="s">
        <v>143</v>
      </c>
      <c r="B473" t="s">
        <v>344</v>
      </c>
      <c r="C473" t="s">
        <v>14</v>
      </c>
      <c r="D473">
        <v>1</v>
      </c>
      <c r="E473">
        <v>1000</v>
      </c>
      <c r="F473">
        <v>-7.3000000000000001E-3</v>
      </c>
      <c r="G473">
        <v>-8.6879999999999995E-3</v>
      </c>
      <c r="H473">
        <v>-1.37397E-3</v>
      </c>
      <c r="I473">
        <v>3.5756000000000003E-2</v>
      </c>
      <c r="J473">
        <v>3.9083E-2</v>
      </c>
      <c r="K473">
        <v>9.3056678099999998E-2</v>
      </c>
      <c r="L473">
        <v>0.18785565439999999</v>
      </c>
      <c r="M473">
        <v>0.97</v>
      </c>
      <c r="N473">
        <v>0</v>
      </c>
    </row>
    <row r="474" spans="1:14" x14ac:dyDescent="0.25">
      <c r="A474" t="s">
        <v>143</v>
      </c>
      <c r="B474" t="s">
        <v>344</v>
      </c>
      <c r="C474" t="s">
        <v>15</v>
      </c>
      <c r="D474">
        <v>1</v>
      </c>
      <c r="E474">
        <v>1000</v>
      </c>
      <c r="F474">
        <v>-0.45419999999999999</v>
      </c>
      <c r="G474">
        <v>-0.45</v>
      </c>
      <c r="H474">
        <v>4.1884382000000001E-3</v>
      </c>
      <c r="I474">
        <v>4.2674999999999998E-2</v>
      </c>
      <c r="J474">
        <v>4.1447999999999999E-2</v>
      </c>
      <c r="K474">
        <v>-2.8745194000000002E-2</v>
      </c>
      <c r="L474">
        <v>-9.2218149999999995E-3</v>
      </c>
      <c r="M474">
        <v>0.94</v>
      </c>
      <c r="N474">
        <v>0</v>
      </c>
    </row>
    <row r="475" spans="1:14" x14ac:dyDescent="0.25">
      <c r="A475" t="s">
        <v>143</v>
      </c>
      <c r="B475" t="s">
        <v>344</v>
      </c>
      <c r="C475" t="s">
        <v>16</v>
      </c>
      <c r="D475">
        <v>1</v>
      </c>
      <c r="E475">
        <v>1000</v>
      </c>
      <c r="F475">
        <v>-8.2500000000000004E-2</v>
      </c>
      <c r="G475">
        <v>-8.6259000000000002E-2</v>
      </c>
      <c r="H475">
        <v>-3.7168349999999999E-3</v>
      </c>
      <c r="I475">
        <v>4.7643999999999999E-2</v>
      </c>
      <c r="J475">
        <v>4.9463E-2</v>
      </c>
      <c r="K475">
        <v>3.8192367499999998E-2</v>
      </c>
      <c r="L475">
        <v>4.5029390400000001E-2</v>
      </c>
      <c r="M475">
        <v>0.95899999999999996</v>
      </c>
      <c r="N475">
        <v>0</v>
      </c>
    </row>
    <row r="476" spans="1:14" x14ac:dyDescent="0.25">
      <c r="A476" t="s">
        <v>143</v>
      </c>
      <c r="B476" t="s">
        <v>344</v>
      </c>
      <c r="C476" t="s">
        <v>17</v>
      </c>
      <c r="D476">
        <v>1</v>
      </c>
      <c r="E476">
        <v>1000</v>
      </c>
      <c r="F476">
        <v>-0.12590000000000001</v>
      </c>
      <c r="G476">
        <v>-0.1244</v>
      </c>
      <c r="H476">
        <v>1.5458341999999999E-3</v>
      </c>
      <c r="I476">
        <v>4.0800000000000003E-3</v>
      </c>
      <c r="J476">
        <v>4.1989999999999996E-3</v>
      </c>
      <c r="K476">
        <v>2.9161221599999999E-2</v>
      </c>
      <c r="L476">
        <v>-1.2273757999999999E-2</v>
      </c>
      <c r="M476">
        <v>0.94399999999999995</v>
      </c>
      <c r="N476">
        <v>0</v>
      </c>
    </row>
    <row r="477" spans="1:14" x14ac:dyDescent="0.25">
      <c r="A477" t="s">
        <v>143</v>
      </c>
      <c r="B477" t="s">
        <v>344</v>
      </c>
      <c r="C477" t="s">
        <v>18</v>
      </c>
      <c r="D477">
        <v>1</v>
      </c>
      <c r="E477">
        <v>1000</v>
      </c>
      <c r="F477">
        <v>-6.9999999999999999E-4</v>
      </c>
      <c r="G477">
        <v>-9.1600000000000004E-4</v>
      </c>
      <c r="H477">
        <v>-2.07989E-4</v>
      </c>
      <c r="I477">
        <v>2.042E-3</v>
      </c>
      <c r="J477">
        <v>2.1670000000000001E-3</v>
      </c>
      <c r="K477">
        <v>6.1071194799999999E-2</v>
      </c>
      <c r="L477">
        <v>0.29388930940000002</v>
      </c>
      <c r="M477">
        <v>0.96799999999999997</v>
      </c>
      <c r="N477">
        <v>0</v>
      </c>
    </row>
    <row r="478" spans="1:14" x14ac:dyDescent="0.25">
      <c r="A478" t="s">
        <v>143</v>
      </c>
      <c r="B478" t="s">
        <v>623</v>
      </c>
      <c r="C478" t="s">
        <v>12</v>
      </c>
      <c r="D478">
        <v>1</v>
      </c>
      <c r="E478">
        <v>975</v>
      </c>
      <c r="F478">
        <v>107.0774</v>
      </c>
      <c r="G478">
        <v>107.139999</v>
      </c>
      <c r="H478">
        <v>6.2590152999999996E-2</v>
      </c>
      <c r="I478">
        <v>1.3484959999999999</v>
      </c>
      <c r="J478">
        <v>1.3570869999999999</v>
      </c>
      <c r="K478">
        <v>6.3712287000000003E-3</v>
      </c>
      <c r="L478">
        <v>5.8453179999999995E-4</v>
      </c>
      <c r="M478">
        <v>0.94358974360000003</v>
      </c>
      <c r="N478">
        <v>0</v>
      </c>
    </row>
    <row r="479" spans="1:14" x14ac:dyDescent="0.25">
      <c r="A479" t="s">
        <v>143</v>
      </c>
      <c r="B479" t="s">
        <v>623</v>
      </c>
      <c r="C479" t="s">
        <v>13</v>
      </c>
      <c r="D479">
        <v>1</v>
      </c>
      <c r="E479">
        <v>975</v>
      </c>
      <c r="F479">
        <v>-4.7686000000000002</v>
      </c>
      <c r="G479">
        <v>-4.7748379999999999</v>
      </c>
      <c r="H479">
        <v>-6.1959099999999998E-3</v>
      </c>
      <c r="I479">
        <v>0.52117500000000005</v>
      </c>
      <c r="J479">
        <v>0.51953800000000006</v>
      </c>
      <c r="K479">
        <v>-3.1418850000000001E-3</v>
      </c>
      <c r="L479">
        <v>1.2993028000000001E-3</v>
      </c>
      <c r="M479">
        <v>0.94974358969999995</v>
      </c>
      <c r="N479">
        <v>0</v>
      </c>
    </row>
    <row r="480" spans="1:14" x14ac:dyDescent="0.25">
      <c r="A480" t="s">
        <v>143</v>
      </c>
      <c r="B480" t="s">
        <v>623</v>
      </c>
      <c r="C480" t="s">
        <v>14</v>
      </c>
      <c r="D480">
        <v>1</v>
      </c>
      <c r="E480">
        <v>975</v>
      </c>
      <c r="F480">
        <v>8.6966999999999999</v>
      </c>
      <c r="G480">
        <v>8.7042990000000007</v>
      </c>
      <c r="H480">
        <v>7.5999860000000004E-3</v>
      </c>
      <c r="I480">
        <v>0.30779699999999999</v>
      </c>
      <c r="J480">
        <v>0.30581900000000001</v>
      </c>
      <c r="K480">
        <v>-6.425732E-3</v>
      </c>
      <c r="L480">
        <v>8.738932E-4</v>
      </c>
      <c r="M480">
        <v>0.9517948718</v>
      </c>
      <c r="N480">
        <v>0</v>
      </c>
    </row>
    <row r="481" spans="1:14" x14ac:dyDescent="0.25">
      <c r="A481" t="s">
        <v>143</v>
      </c>
      <c r="B481" t="s">
        <v>623</v>
      </c>
      <c r="C481" t="s">
        <v>15</v>
      </c>
      <c r="D481">
        <v>1</v>
      </c>
      <c r="E481">
        <v>975</v>
      </c>
      <c r="F481">
        <v>-1.6103000000000001</v>
      </c>
      <c r="G481">
        <v>-1.6150329999999999</v>
      </c>
      <c r="H481">
        <v>-4.738183E-3</v>
      </c>
      <c r="I481">
        <v>0.33494200000000002</v>
      </c>
      <c r="J481">
        <v>0.32958500000000002</v>
      </c>
      <c r="K481">
        <v>-1.5994441000000002E-2</v>
      </c>
      <c r="L481">
        <v>2.9424325000000002E-3</v>
      </c>
      <c r="M481">
        <v>0.94358974360000003</v>
      </c>
      <c r="N481">
        <v>0</v>
      </c>
    </row>
    <row r="482" spans="1:14" x14ac:dyDescent="0.25">
      <c r="A482" t="s">
        <v>143</v>
      </c>
      <c r="B482" t="s">
        <v>623</v>
      </c>
      <c r="C482" t="s">
        <v>16</v>
      </c>
      <c r="D482">
        <v>1</v>
      </c>
      <c r="E482">
        <v>975</v>
      </c>
      <c r="F482">
        <v>-7.9151999999999996</v>
      </c>
      <c r="G482">
        <v>-7.9230739999999997</v>
      </c>
      <c r="H482">
        <v>-7.8978710000000008E-3</v>
      </c>
      <c r="I482">
        <v>0.36948999999999999</v>
      </c>
      <c r="J482">
        <v>0.37928099999999998</v>
      </c>
      <c r="K482">
        <v>2.6498570799999999E-2</v>
      </c>
      <c r="L482">
        <v>9.9781380000000001E-4</v>
      </c>
      <c r="M482">
        <v>0.96102564099999999</v>
      </c>
      <c r="N482">
        <v>0</v>
      </c>
    </row>
    <row r="483" spans="1:14" x14ac:dyDescent="0.25">
      <c r="A483" t="s">
        <v>143</v>
      </c>
      <c r="B483" t="s">
        <v>623</v>
      </c>
      <c r="C483" t="s">
        <v>17</v>
      </c>
      <c r="D483">
        <v>1</v>
      </c>
      <c r="E483">
        <v>975</v>
      </c>
      <c r="F483">
        <v>5.8681000000000001</v>
      </c>
      <c r="G483">
        <v>5.871232</v>
      </c>
      <c r="H483">
        <v>3.0929070999999998E-3</v>
      </c>
      <c r="I483">
        <v>2.2978999999999999E-2</v>
      </c>
      <c r="J483">
        <v>2.3377999999999999E-2</v>
      </c>
      <c r="K483">
        <v>1.73723704E-2</v>
      </c>
      <c r="L483">
        <v>5.2706780000000004E-4</v>
      </c>
      <c r="M483">
        <v>0.95794871790000002</v>
      </c>
      <c r="N483">
        <v>0</v>
      </c>
    </row>
    <row r="484" spans="1:14" x14ac:dyDescent="0.25">
      <c r="A484" t="s">
        <v>143</v>
      </c>
      <c r="B484" t="s">
        <v>623</v>
      </c>
      <c r="C484" t="s">
        <v>18</v>
      </c>
      <c r="D484">
        <v>1</v>
      </c>
      <c r="E484">
        <v>975</v>
      </c>
      <c r="F484">
        <v>2.8400000000000002E-2</v>
      </c>
      <c r="G484">
        <v>2.6945E-2</v>
      </c>
      <c r="H484">
        <v>-1.4710739999999999E-3</v>
      </c>
      <c r="I484">
        <v>1.6625000000000001E-2</v>
      </c>
      <c r="J484">
        <v>1.7082E-2</v>
      </c>
      <c r="K484">
        <v>2.7463662699999999E-2</v>
      </c>
      <c r="L484">
        <v>-5.1768274000000003E-2</v>
      </c>
      <c r="M484">
        <v>0.94666666669999999</v>
      </c>
      <c r="N484">
        <v>0</v>
      </c>
    </row>
    <row r="485" spans="1:14" x14ac:dyDescent="0.25">
      <c r="A485" t="s">
        <v>143</v>
      </c>
      <c r="B485" t="s">
        <v>624</v>
      </c>
      <c r="C485" t="s">
        <v>12</v>
      </c>
      <c r="D485">
        <v>1</v>
      </c>
      <c r="E485">
        <v>920</v>
      </c>
      <c r="F485">
        <v>3.1354000000000002</v>
      </c>
      <c r="G485">
        <v>3.1294140000000001</v>
      </c>
      <c r="H485">
        <v>-5.9769280000000003E-3</v>
      </c>
      <c r="I485">
        <v>0.17869299999999999</v>
      </c>
      <c r="J485">
        <v>0.17416499999999999</v>
      </c>
      <c r="K485">
        <v>-2.5342816000000001E-2</v>
      </c>
      <c r="L485">
        <v>-1.906278E-3</v>
      </c>
      <c r="M485">
        <v>0.94891304350000005</v>
      </c>
      <c r="N485">
        <v>0</v>
      </c>
    </row>
    <row r="486" spans="1:14" x14ac:dyDescent="0.25">
      <c r="A486" t="s">
        <v>143</v>
      </c>
      <c r="B486" t="s">
        <v>624</v>
      </c>
      <c r="C486" t="s">
        <v>13</v>
      </c>
      <c r="D486">
        <v>1</v>
      </c>
      <c r="E486">
        <v>920</v>
      </c>
      <c r="F486">
        <v>-0.44119999999999998</v>
      </c>
      <c r="G486">
        <v>-0.46011800000000003</v>
      </c>
      <c r="H486">
        <v>-1.8911784000000001E-2</v>
      </c>
      <c r="I486">
        <v>6.6713999999999996E-2</v>
      </c>
      <c r="J486">
        <v>6.5253000000000005E-2</v>
      </c>
      <c r="K486">
        <v>-2.1899939E-2</v>
      </c>
      <c r="L486">
        <v>4.2863813299999998E-2</v>
      </c>
      <c r="M486">
        <v>0.93478260869999996</v>
      </c>
      <c r="N486">
        <v>0</v>
      </c>
    </row>
    <row r="487" spans="1:14" x14ac:dyDescent="0.25">
      <c r="A487" t="s">
        <v>143</v>
      </c>
      <c r="B487" t="s">
        <v>624</v>
      </c>
      <c r="C487" t="s">
        <v>14</v>
      </c>
      <c r="D487">
        <v>1</v>
      </c>
      <c r="E487">
        <v>920</v>
      </c>
      <c r="F487">
        <v>-7.3000000000000001E-3</v>
      </c>
      <c r="G487">
        <v>-9.2339999999999992E-3</v>
      </c>
      <c r="H487">
        <v>-1.9204000000000001E-3</v>
      </c>
      <c r="I487">
        <v>3.5513999999999997E-2</v>
      </c>
      <c r="J487">
        <v>3.9079999999999997E-2</v>
      </c>
      <c r="K487">
        <v>0.1004177369</v>
      </c>
      <c r="L487">
        <v>0.26256603830000003</v>
      </c>
      <c r="M487">
        <v>0.97173913040000004</v>
      </c>
      <c r="N487">
        <v>0</v>
      </c>
    </row>
    <row r="488" spans="1:14" x14ac:dyDescent="0.25">
      <c r="A488" t="s">
        <v>143</v>
      </c>
      <c r="B488" t="s">
        <v>624</v>
      </c>
      <c r="C488" t="s">
        <v>15</v>
      </c>
      <c r="D488">
        <v>1</v>
      </c>
      <c r="E488">
        <v>920</v>
      </c>
      <c r="F488">
        <v>-0.45419999999999999</v>
      </c>
      <c r="G488">
        <v>-0.45157999999999998</v>
      </c>
      <c r="H488">
        <v>2.6075820999999998E-3</v>
      </c>
      <c r="I488">
        <v>4.3076999999999997E-2</v>
      </c>
      <c r="J488">
        <v>4.1778000000000003E-2</v>
      </c>
      <c r="K488">
        <v>-3.0155168E-2</v>
      </c>
      <c r="L488">
        <v>-5.7411950000000002E-3</v>
      </c>
      <c r="M488">
        <v>0.93586956519999998</v>
      </c>
      <c r="N488">
        <v>0</v>
      </c>
    </row>
    <row r="489" spans="1:14" x14ac:dyDescent="0.25">
      <c r="A489" t="s">
        <v>143</v>
      </c>
      <c r="B489" t="s">
        <v>624</v>
      </c>
      <c r="C489" t="s">
        <v>16</v>
      </c>
      <c r="D489">
        <v>1</v>
      </c>
      <c r="E489">
        <v>920</v>
      </c>
      <c r="F489">
        <v>-8.2500000000000004E-2</v>
      </c>
      <c r="G489">
        <v>-8.6255999999999999E-2</v>
      </c>
      <c r="H489">
        <v>-3.7133729999999998E-3</v>
      </c>
      <c r="I489">
        <v>4.7724000000000003E-2</v>
      </c>
      <c r="J489">
        <v>4.9431000000000003E-2</v>
      </c>
      <c r="K489">
        <v>3.5775095E-2</v>
      </c>
      <c r="L489">
        <v>4.4987453500000003E-2</v>
      </c>
      <c r="M489">
        <v>0.95652173910000005</v>
      </c>
      <c r="N489">
        <v>0</v>
      </c>
    </row>
    <row r="490" spans="1:14" x14ac:dyDescent="0.25">
      <c r="A490" t="s">
        <v>143</v>
      </c>
      <c r="B490" t="s">
        <v>624</v>
      </c>
      <c r="C490" t="s">
        <v>17</v>
      </c>
      <c r="D490">
        <v>1</v>
      </c>
      <c r="E490">
        <v>920</v>
      </c>
      <c r="F490">
        <v>-0.12590000000000001</v>
      </c>
      <c r="G490">
        <v>-0.124474</v>
      </c>
      <c r="H490">
        <v>1.4721261000000001E-3</v>
      </c>
      <c r="I490">
        <v>4.1190000000000003E-3</v>
      </c>
      <c r="J490">
        <v>4.2129999999999997E-3</v>
      </c>
      <c r="K490">
        <v>2.2974295799999999E-2</v>
      </c>
      <c r="L490">
        <v>-1.1688522999999999E-2</v>
      </c>
      <c r="M490">
        <v>0.94456521739999999</v>
      </c>
      <c r="N490">
        <v>0</v>
      </c>
    </row>
    <row r="491" spans="1:14" x14ac:dyDescent="0.25">
      <c r="A491" t="s">
        <v>143</v>
      </c>
      <c r="B491" t="s">
        <v>624</v>
      </c>
      <c r="C491" t="s">
        <v>18</v>
      </c>
      <c r="D491">
        <v>1</v>
      </c>
      <c r="E491">
        <v>920</v>
      </c>
      <c r="F491">
        <v>-6.9999999999999999E-4</v>
      </c>
      <c r="G491">
        <v>-8.2299999999999995E-4</v>
      </c>
      <c r="H491">
        <v>-1.15721E-4</v>
      </c>
      <c r="I491">
        <v>2.0869999999999999E-3</v>
      </c>
      <c r="J491">
        <v>2.1970000000000002E-3</v>
      </c>
      <c r="K491">
        <v>5.24570205E-2</v>
      </c>
      <c r="L491">
        <v>0.16351449500000001</v>
      </c>
      <c r="M491">
        <v>0.95978260869999998</v>
      </c>
      <c r="N491">
        <v>0</v>
      </c>
    </row>
    <row r="492" spans="1:14" x14ac:dyDescent="0.25">
      <c r="A492" t="s">
        <v>143</v>
      </c>
      <c r="B492" t="s">
        <v>162</v>
      </c>
      <c r="C492" t="s">
        <v>12</v>
      </c>
      <c r="D492">
        <v>1</v>
      </c>
      <c r="E492">
        <v>1000</v>
      </c>
      <c r="F492">
        <v>107.0774</v>
      </c>
      <c r="G492">
        <v>108.67322799999999</v>
      </c>
      <c r="H492">
        <v>1.5958193395</v>
      </c>
      <c r="I492">
        <v>1.476021</v>
      </c>
      <c r="J492">
        <v>1.4542619999999999</v>
      </c>
      <c r="K492">
        <v>-1.4741699E-2</v>
      </c>
      <c r="L492">
        <v>1.49034176E-2</v>
      </c>
      <c r="M492">
        <v>0.81100000000000005</v>
      </c>
      <c r="N492">
        <v>1</v>
      </c>
    </row>
    <row r="493" spans="1:14" x14ac:dyDescent="0.25">
      <c r="A493" t="s">
        <v>143</v>
      </c>
      <c r="B493" t="s">
        <v>162</v>
      </c>
      <c r="C493" t="s">
        <v>13</v>
      </c>
      <c r="D493">
        <v>1</v>
      </c>
      <c r="E493">
        <v>1000</v>
      </c>
      <c r="F493">
        <v>-4.7686000000000002</v>
      </c>
      <c r="G493">
        <v>-4.6431230000000001</v>
      </c>
      <c r="H493">
        <v>0.1255184707</v>
      </c>
      <c r="I493">
        <v>0.54938399999999998</v>
      </c>
      <c r="J493">
        <v>0.54798000000000002</v>
      </c>
      <c r="K493">
        <v>-2.5544539999999998E-3</v>
      </c>
      <c r="L493">
        <v>-2.632164E-2</v>
      </c>
      <c r="M493">
        <v>0.94299999999999995</v>
      </c>
      <c r="N493">
        <v>1</v>
      </c>
    </row>
    <row r="494" spans="1:14" x14ac:dyDescent="0.25">
      <c r="A494" t="s">
        <v>143</v>
      </c>
      <c r="B494" t="s">
        <v>162</v>
      </c>
      <c r="C494" t="s">
        <v>14</v>
      </c>
      <c r="D494">
        <v>1</v>
      </c>
      <c r="E494">
        <v>1000</v>
      </c>
      <c r="F494">
        <v>8.6966999999999999</v>
      </c>
      <c r="G494">
        <v>6.6037239999999997</v>
      </c>
      <c r="H494">
        <v>-2.0929745070000001</v>
      </c>
      <c r="I494">
        <v>0.33241599999999999</v>
      </c>
      <c r="J494">
        <v>0.32627</v>
      </c>
      <c r="K494">
        <v>-1.8488642E-2</v>
      </c>
      <c r="L494">
        <v>-0.24066310499999999</v>
      </c>
      <c r="M494">
        <v>0</v>
      </c>
      <c r="N494">
        <v>1</v>
      </c>
    </row>
    <row r="495" spans="1:14" x14ac:dyDescent="0.25">
      <c r="A495" t="s">
        <v>143</v>
      </c>
      <c r="B495" t="s">
        <v>162</v>
      </c>
      <c r="C495" t="s">
        <v>15</v>
      </c>
      <c r="D495">
        <v>1</v>
      </c>
      <c r="E495">
        <v>1000</v>
      </c>
      <c r="F495">
        <v>-1.6103000000000001</v>
      </c>
      <c r="G495">
        <v>-1.934213</v>
      </c>
      <c r="H495">
        <v>-0.323918757</v>
      </c>
      <c r="I495">
        <v>0.36236200000000002</v>
      </c>
      <c r="J495">
        <v>0.35103899999999999</v>
      </c>
      <c r="K495">
        <v>-3.1247145E-2</v>
      </c>
      <c r="L495">
        <v>0.2011549722</v>
      </c>
      <c r="M495">
        <v>0.83399999999999996</v>
      </c>
      <c r="N495">
        <v>1</v>
      </c>
    </row>
    <row r="496" spans="1:14" x14ac:dyDescent="0.25">
      <c r="A496" t="s">
        <v>143</v>
      </c>
      <c r="B496" t="s">
        <v>162</v>
      </c>
      <c r="C496" t="s">
        <v>16</v>
      </c>
      <c r="D496">
        <v>1</v>
      </c>
      <c r="E496">
        <v>1000</v>
      </c>
      <c r="F496">
        <v>-7.9151999999999996</v>
      </c>
      <c r="G496">
        <v>-5.9036910000000002</v>
      </c>
      <c r="H496">
        <v>2.0114845876</v>
      </c>
      <c r="I496">
        <v>0.40995399999999999</v>
      </c>
      <c r="J496">
        <v>0.42034300000000002</v>
      </c>
      <c r="K496">
        <v>2.5342110399999999E-2</v>
      </c>
      <c r="L496">
        <v>-0.25413012699999998</v>
      </c>
      <c r="M496">
        <v>1E-3</v>
      </c>
      <c r="N496">
        <v>1</v>
      </c>
    </row>
    <row r="497" spans="1:14" x14ac:dyDescent="0.25">
      <c r="A497" t="s">
        <v>143</v>
      </c>
      <c r="B497" t="s">
        <v>162</v>
      </c>
      <c r="C497" t="s">
        <v>17</v>
      </c>
      <c r="D497">
        <v>1</v>
      </c>
      <c r="E497">
        <v>1000</v>
      </c>
      <c r="F497">
        <v>5.8681000000000001</v>
      </c>
      <c r="G497">
        <v>5.8874709999999997</v>
      </c>
      <c r="H497">
        <v>1.9331673399999999E-2</v>
      </c>
      <c r="I497">
        <v>3.0668000000000001E-2</v>
      </c>
      <c r="J497">
        <v>3.0675000000000001E-2</v>
      </c>
      <c r="K497">
        <v>2.4684080000000002E-4</v>
      </c>
      <c r="L497">
        <v>3.2943448000000001E-3</v>
      </c>
      <c r="M497">
        <v>0.90800000000000003</v>
      </c>
      <c r="N497">
        <v>1</v>
      </c>
    </row>
    <row r="498" spans="1:14" x14ac:dyDescent="0.25">
      <c r="A498" t="s">
        <v>143</v>
      </c>
      <c r="B498" t="s">
        <v>162</v>
      </c>
      <c r="C498" t="s">
        <v>18</v>
      </c>
      <c r="D498">
        <v>1</v>
      </c>
      <c r="E498">
        <v>1000</v>
      </c>
      <c r="F498">
        <v>2.8400000000000002E-2</v>
      </c>
      <c r="G498">
        <v>3.1807000000000002E-2</v>
      </c>
      <c r="H498">
        <v>3.3906867999999998E-3</v>
      </c>
      <c r="I498">
        <v>1.7930000000000001E-2</v>
      </c>
      <c r="J498">
        <v>1.7829000000000001E-2</v>
      </c>
      <c r="K498">
        <v>-5.6192500000000001E-3</v>
      </c>
      <c r="L498">
        <v>0.1193209526</v>
      </c>
      <c r="M498">
        <v>0.94699999999999995</v>
      </c>
      <c r="N498">
        <v>0.42899999999999999</v>
      </c>
    </row>
    <row r="499" spans="1:14" x14ac:dyDescent="0.25">
      <c r="A499" t="s">
        <v>143</v>
      </c>
      <c r="B499" t="s">
        <v>165</v>
      </c>
      <c r="C499" t="s">
        <v>12</v>
      </c>
      <c r="D499">
        <v>1</v>
      </c>
      <c r="E499">
        <v>1000</v>
      </c>
      <c r="F499">
        <v>107.0774</v>
      </c>
      <c r="G499">
        <v>108.67322799999999</v>
      </c>
      <c r="H499">
        <v>1.5958193395</v>
      </c>
      <c r="I499">
        <v>1.476021</v>
      </c>
      <c r="J499">
        <v>1.4542619999999999</v>
      </c>
      <c r="K499">
        <v>-1.4741699E-2</v>
      </c>
      <c r="L499">
        <v>1.49034176E-2</v>
      </c>
      <c r="M499">
        <v>0.81100000000000005</v>
      </c>
      <c r="N499">
        <v>1</v>
      </c>
    </row>
    <row r="500" spans="1:14" x14ac:dyDescent="0.25">
      <c r="A500" t="s">
        <v>143</v>
      </c>
      <c r="B500" t="s">
        <v>165</v>
      </c>
      <c r="C500" t="s">
        <v>13</v>
      </c>
      <c r="D500">
        <v>1</v>
      </c>
      <c r="E500">
        <v>1000</v>
      </c>
      <c r="F500">
        <v>-4.7686000000000002</v>
      </c>
      <c r="G500">
        <v>-4.6431230000000001</v>
      </c>
      <c r="H500">
        <v>0.1255184707</v>
      </c>
      <c r="I500">
        <v>0.54938399999999998</v>
      </c>
      <c r="J500">
        <v>0.54798000000000002</v>
      </c>
      <c r="K500">
        <v>-2.5544539999999998E-3</v>
      </c>
      <c r="L500">
        <v>-2.632164E-2</v>
      </c>
      <c r="M500">
        <v>0.94299999999999995</v>
      </c>
      <c r="N500">
        <v>1</v>
      </c>
    </row>
    <row r="501" spans="1:14" x14ac:dyDescent="0.25">
      <c r="A501" t="s">
        <v>143</v>
      </c>
      <c r="B501" t="s">
        <v>165</v>
      </c>
      <c r="C501" t="s">
        <v>14</v>
      </c>
      <c r="D501">
        <v>1</v>
      </c>
      <c r="E501">
        <v>1000</v>
      </c>
      <c r="F501">
        <v>8.6966999999999999</v>
      </c>
      <c r="G501">
        <v>6.6037239999999997</v>
      </c>
      <c r="H501">
        <v>-2.0929745070000001</v>
      </c>
      <c r="I501">
        <v>0.33241599999999999</v>
      </c>
      <c r="J501">
        <v>0.32627</v>
      </c>
      <c r="K501">
        <v>-1.8488642E-2</v>
      </c>
      <c r="L501">
        <v>-0.24066310499999999</v>
      </c>
      <c r="M501">
        <v>0</v>
      </c>
      <c r="N501">
        <v>1</v>
      </c>
    </row>
    <row r="502" spans="1:14" x14ac:dyDescent="0.25">
      <c r="A502" t="s">
        <v>143</v>
      </c>
      <c r="B502" t="s">
        <v>165</v>
      </c>
      <c r="C502" t="s">
        <v>15</v>
      </c>
      <c r="D502">
        <v>1</v>
      </c>
      <c r="E502">
        <v>1000</v>
      </c>
      <c r="F502">
        <v>-1.6103000000000001</v>
      </c>
      <c r="G502">
        <v>-1.934213</v>
      </c>
      <c r="H502">
        <v>-0.323918757</v>
      </c>
      <c r="I502">
        <v>0.36236200000000002</v>
      </c>
      <c r="J502">
        <v>0.35103899999999999</v>
      </c>
      <c r="K502">
        <v>-3.1247145E-2</v>
      </c>
      <c r="L502">
        <v>0.2011549722</v>
      </c>
      <c r="M502">
        <v>0.83399999999999996</v>
      </c>
      <c r="N502">
        <v>1</v>
      </c>
    </row>
    <row r="503" spans="1:14" x14ac:dyDescent="0.25">
      <c r="A503" t="s">
        <v>143</v>
      </c>
      <c r="B503" t="s">
        <v>165</v>
      </c>
      <c r="C503" t="s">
        <v>16</v>
      </c>
      <c r="D503">
        <v>1</v>
      </c>
      <c r="E503">
        <v>1000</v>
      </c>
      <c r="F503">
        <v>-7.9151999999999996</v>
      </c>
      <c r="G503">
        <v>-5.9036910000000002</v>
      </c>
      <c r="H503">
        <v>2.0114845876</v>
      </c>
      <c r="I503">
        <v>0.40995399999999999</v>
      </c>
      <c r="J503">
        <v>0.42034300000000002</v>
      </c>
      <c r="K503">
        <v>2.5342110399999999E-2</v>
      </c>
      <c r="L503">
        <v>-0.25413012699999998</v>
      </c>
      <c r="M503">
        <v>1E-3</v>
      </c>
      <c r="N503">
        <v>1</v>
      </c>
    </row>
    <row r="504" spans="1:14" x14ac:dyDescent="0.25">
      <c r="A504" t="s">
        <v>143</v>
      </c>
      <c r="B504" t="s">
        <v>165</v>
      </c>
      <c r="C504" t="s">
        <v>17</v>
      </c>
      <c r="D504">
        <v>1</v>
      </c>
      <c r="E504">
        <v>1000</v>
      </c>
      <c r="F504">
        <v>5.8681000000000001</v>
      </c>
      <c r="G504">
        <v>5.8874709999999997</v>
      </c>
      <c r="H504">
        <v>1.9331673399999999E-2</v>
      </c>
      <c r="I504">
        <v>3.0668000000000001E-2</v>
      </c>
      <c r="J504">
        <v>3.0675000000000001E-2</v>
      </c>
      <c r="K504">
        <v>2.4684080000000002E-4</v>
      </c>
      <c r="L504">
        <v>3.2943448000000001E-3</v>
      </c>
      <c r="M504">
        <v>0.90800000000000003</v>
      </c>
      <c r="N504">
        <v>1</v>
      </c>
    </row>
    <row r="505" spans="1:14" x14ac:dyDescent="0.25">
      <c r="A505" t="s">
        <v>143</v>
      </c>
      <c r="B505" t="s">
        <v>165</v>
      </c>
      <c r="C505" t="s">
        <v>18</v>
      </c>
      <c r="D505">
        <v>1</v>
      </c>
      <c r="E505">
        <v>1000</v>
      </c>
      <c r="F505">
        <v>2.8400000000000002E-2</v>
      </c>
      <c r="G505">
        <v>3.1807000000000002E-2</v>
      </c>
      <c r="H505">
        <v>3.3906867999999998E-3</v>
      </c>
      <c r="I505">
        <v>1.7930000000000001E-2</v>
      </c>
      <c r="J505">
        <v>1.7829000000000001E-2</v>
      </c>
      <c r="K505">
        <v>-5.6192500000000001E-3</v>
      </c>
      <c r="L505">
        <v>0.1193209526</v>
      </c>
      <c r="M505">
        <v>0.94699999999999995</v>
      </c>
      <c r="N505">
        <v>0.42899999999999999</v>
      </c>
    </row>
    <row r="506" spans="1:14" x14ac:dyDescent="0.25">
      <c r="A506" t="s">
        <v>143</v>
      </c>
      <c r="B506" t="s">
        <v>345</v>
      </c>
      <c r="C506" t="s">
        <v>12</v>
      </c>
      <c r="D506">
        <v>1</v>
      </c>
      <c r="E506">
        <v>1000</v>
      </c>
      <c r="F506">
        <v>107.0774</v>
      </c>
      <c r="G506">
        <v>109.964412</v>
      </c>
      <c r="H506">
        <v>2.8870032955</v>
      </c>
      <c r="I506">
        <v>1.500472</v>
      </c>
      <c r="J506">
        <v>1.496642</v>
      </c>
      <c r="K506">
        <v>-2.552772E-3</v>
      </c>
      <c r="L506">
        <v>2.6961833800000001E-2</v>
      </c>
      <c r="M506">
        <v>0.51500000000000001</v>
      </c>
      <c r="N506">
        <v>1</v>
      </c>
    </row>
    <row r="507" spans="1:14" x14ac:dyDescent="0.25">
      <c r="A507" t="s">
        <v>143</v>
      </c>
      <c r="B507" t="s">
        <v>345</v>
      </c>
      <c r="C507" t="s">
        <v>13</v>
      </c>
      <c r="D507">
        <v>1</v>
      </c>
      <c r="E507">
        <v>1000</v>
      </c>
      <c r="F507">
        <v>-4.7686000000000002</v>
      </c>
      <c r="G507">
        <v>-4.8293210000000002</v>
      </c>
      <c r="H507">
        <v>-6.0679623000000002E-2</v>
      </c>
      <c r="I507">
        <v>0.55565299999999995</v>
      </c>
      <c r="J507">
        <v>0.56003199999999997</v>
      </c>
      <c r="K507">
        <v>7.8805760999999998E-3</v>
      </c>
      <c r="L507">
        <v>1.2724718600000001E-2</v>
      </c>
      <c r="M507">
        <v>0.94499999999999995</v>
      </c>
      <c r="N507">
        <v>1</v>
      </c>
    </row>
    <row r="508" spans="1:14" x14ac:dyDescent="0.25">
      <c r="A508" t="s">
        <v>143</v>
      </c>
      <c r="B508" t="s">
        <v>345</v>
      </c>
      <c r="C508" t="s">
        <v>14</v>
      </c>
      <c r="D508">
        <v>1</v>
      </c>
      <c r="E508">
        <v>1000</v>
      </c>
      <c r="F508">
        <v>8.6966999999999999</v>
      </c>
      <c r="G508">
        <v>6.6326520000000002</v>
      </c>
      <c r="H508">
        <v>-2.0640464289999998</v>
      </c>
      <c r="I508">
        <v>0.338557</v>
      </c>
      <c r="J508">
        <v>0.33491500000000002</v>
      </c>
      <c r="K508">
        <v>-1.0756369E-2</v>
      </c>
      <c r="L508">
        <v>-0.237336777</v>
      </c>
      <c r="M508">
        <v>0</v>
      </c>
      <c r="N508">
        <v>1</v>
      </c>
    </row>
    <row r="509" spans="1:14" x14ac:dyDescent="0.25">
      <c r="A509" t="s">
        <v>143</v>
      </c>
      <c r="B509" t="s">
        <v>345</v>
      </c>
      <c r="C509" t="s">
        <v>15</v>
      </c>
      <c r="D509">
        <v>1</v>
      </c>
      <c r="E509">
        <v>1000</v>
      </c>
      <c r="F509">
        <v>-1.6103000000000001</v>
      </c>
      <c r="G509">
        <v>-2.1317889999999999</v>
      </c>
      <c r="H509">
        <v>-0.52149421100000004</v>
      </c>
      <c r="I509">
        <v>0.35394599999999998</v>
      </c>
      <c r="J509">
        <v>0.360626</v>
      </c>
      <c r="K509">
        <v>1.88727697E-2</v>
      </c>
      <c r="L509">
        <v>0.3238501976</v>
      </c>
      <c r="M509">
        <v>0.71399999999999997</v>
      </c>
      <c r="N509">
        <v>1</v>
      </c>
    </row>
    <row r="510" spans="1:14" x14ac:dyDescent="0.25">
      <c r="A510" t="s">
        <v>143</v>
      </c>
      <c r="B510" t="s">
        <v>345</v>
      </c>
      <c r="C510" t="s">
        <v>16</v>
      </c>
      <c r="D510">
        <v>1</v>
      </c>
      <c r="E510">
        <v>1000</v>
      </c>
      <c r="F510">
        <v>-7.9151999999999996</v>
      </c>
      <c r="G510">
        <v>-6.0830419999999998</v>
      </c>
      <c r="H510">
        <v>1.8321336545</v>
      </c>
      <c r="I510">
        <v>0.40888000000000002</v>
      </c>
      <c r="J510">
        <v>0.419101</v>
      </c>
      <c r="K510">
        <v>2.4997273399999999E-2</v>
      </c>
      <c r="L510">
        <v>-0.23147100400000001</v>
      </c>
      <c r="M510">
        <v>0.01</v>
      </c>
      <c r="N510">
        <v>1</v>
      </c>
    </row>
    <row r="511" spans="1:14" x14ac:dyDescent="0.25">
      <c r="A511" t="s">
        <v>143</v>
      </c>
      <c r="B511" t="s">
        <v>345</v>
      </c>
      <c r="C511" t="s">
        <v>17</v>
      </c>
      <c r="D511">
        <v>1</v>
      </c>
      <c r="E511">
        <v>1000</v>
      </c>
      <c r="F511">
        <v>5.8681000000000001</v>
      </c>
      <c r="G511">
        <v>5.9656359999999999</v>
      </c>
      <c r="H511">
        <v>9.7496521799999999E-2</v>
      </c>
      <c r="I511">
        <v>2.8582E-2</v>
      </c>
      <c r="J511">
        <v>2.9703E-2</v>
      </c>
      <c r="K511">
        <v>3.9215595499999999E-2</v>
      </c>
      <c r="L511">
        <v>1.6614555600000001E-2</v>
      </c>
      <c r="M511">
        <v>8.4000000000000005E-2</v>
      </c>
      <c r="N511">
        <v>1</v>
      </c>
    </row>
    <row r="512" spans="1:14" x14ac:dyDescent="0.25">
      <c r="A512" t="s">
        <v>143</v>
      </c>
      <c r="B512" t="s">
        <v>345</v>
      </c>
      <c r="C512" t="s">
        <v>18</v>
      </c>
      <c r="D512">
        <v>1</v>
      </c>
      <c r="E512">
        <v>1000</v>
      </c>
      <c r="F512">
        <v>2.8400000000000002E-2</v>
      </c>
      <c r="G512">
        <v>2.7042E-2</v>
      </c>
      <c r="H512">
        <v>-1.3742229999999999E-3</v>
      </c>
      <c r="I512">
        <v>1.8582000000000001E-2</v>
      </c>
      <c r="J512">
        <v>1.8200000000000001E-2</v>
      </c>
      <c r="K512">
        <v>-2.0529024E-2</v>
      </c>
      <c r="L512">
        <v>-4.8359991999999997E-2</v>
      </c>
      <c r="M512">
        <v>0.94</v>
      </c>
      <c r="N512">
        <v>0.32300000000000001</v>
      </c>
    </row>
    <row r="513" spans="1:14" x14ac:dyDescent="0.25">
      <c r="A513" t="s">
        <v>143</v>
      </c>
      <c r="B513" t="s">
        <v>346</v>
      </c>
      <c r="C513" t="s">
        <v>12</v>
      </c>
      <c r="D513">
        <v>1</v>
      </c>
      <c r="E513">
        <v>1000</v>
      </c>
      <c r="F513">
        <v>107.0774</v>
      </c>
      <c r="G513">
        <v>109.964412</v>
      </c>
      <c r="H513">
        <v>2.8870032955</v>
      </c>
      <c r="I513">
        <v>1.500472</v>
      </c>
      <c r="J513">
        <v>1.496642</v>
      </c>
      <c r="K513">
        <v>-2.552772E-3</v>
      </c>
      <c r="L513">
        <v>2.6961833800000001E-2</v>
      </c>
      <c r="M513">
        <v>0.51500000000000001</v>
      </c>
      <c r="N513">
        <v>1</v>
      </c>
    </row>
    <row r="514" spans="1:14" x14ac:dyDescent="0.25">
      <c r="A514" t="s">
        <v>143</v>
      </c>
      <c r="B514" t="s">
        <v>346</v>
      </c>
      <c r="C514" t="s">
        <v>13</v>
      </c>
      <c r="D514">
        <v>1</v>
      </c>
      <c r="E514">
        <v>1000</v>
      </c>
      <c r="F514">
        <v>-4.7686000000000002</v>
      </c>
      <c r="G514">
        <v>-4.8293210000000002</v>
      </c>
      <c r="H514">
        <v>-6.0679623000000002E-2</v>
      </c>
      <c r="I514">
        <v>0.55565299999999995</v>
      </c>
      <c r="J514">
        <v>0.56003199999999997</v>
      </c>
      <c r="K514">
        <v>7.8805760999999998E-3</v>
      </c>
      <c r="L514">
        <v>1.2724718600000001E-2</v>
      </c>
      <c r="M514">
        <v>0.94499999999999995</v>
      </c>
      <c r="N514">
        <v>1</v>
      </c>
    </row>
    <row r="515" spans="1:14" x14ac:dyDescent="0.25">
      <c r="A515" t="s">
        <v>143</v>
      </c>
      <c r="B515" t="s">
        <v>346</v>
      </c>
      <c r="C515" t="s">
        <v>14</v>
      </c>
      <c r="D515">
        <v>1</v>
      </c>
      <c r="E515">
        <v>1000</v>
      </c>
      <c r="F515">
        <v>8.6966999999999999</v>
      </c>
      <c r="G515">
        <v>6.6326520000000002</v>
      </c>
      <c r="H515">
        <v>-2.0640464289999998</v>
      </c>
      <c r="I515">
        <v>0.338557</v>
      </c>
      <c r="J515">
        <v>0.33491500000000002</v>
      </c>
      <c r="K515">
        <v>-1.0756369E-2</v>
      </c>
      <c r="L515">
        <v>-0.237336777</v>
      </c>
      <c r="M515">
        <v>0</v>
      </c>
      <c r="N515">
        <v>1</v>
      </c>
    </row>
    <row r="516" spans="1:14" x14ac:dyDescent="0.25">
      <c r="A516" t="s">
        <v>143</v>
      </c>
      <c r="B516" t="s">
        <v>346</v>
      </c>
      <c r="C516" t="s">
        <v>15</v>
      </c>
      <c r="D516">
        <v>1</v>
      </c>
      <c r="E516">
        <v>1000</v>
      </c>
      <c r="F516">
        <v>-1.6103000000000001</v>
      </c>
      <c r="G516">
        <v>-2.1317889999999999</v>
      </c>
      <c r="H516">
        <v>-0.52149421100000004</v>
      </c>
      <c r="I516">
        <v>0.35394599999999998</v>
      </c>
      <c r="J516">
        <v>0.360626</v>
      </c>
      <c r="K516">
        <v>1.88727697E-2</v>
      </c>
      <c r="L516">
        <v>0.3238501976</v>
      </c>
      <c r="M516">
        <v>0.71399999999999997</v>
      </c>
      <c r="N516">
        <v>1</v>
      </c>
    </row>
    <row r="517" spans="1:14" x14ac:dyDescent="0.25">
      <c r="A517" t="s">
        <v>143</v>
      </c>
      <c r="B517" t="s">
        <v>346</v>
      </c>
      <c r="C517" t="s">
        <v>16</v>
      </c>
      <c r="D517">
        <v>1</v>
      </c>
      <c r="E517">
        <v>1000</v>
      </c>
      <c r="F517">
        <v>-7.9151999999999996</v>
      </c>
      <c r="G517">
        <v>-6.0830419999999998</v>
      </c>
      <c r="H517">
        <v>1.8321336545</v>
      </c>
      <c r="I517">
        <v>0.40888000000000002</v>
      </c>
      <c r="J517">
        <v>0.419101</v>
      </c>
      <c r="K517">
        <v>2.4997273399999999E-2</v>
      </c>
      <c r="L517">
        <v>-0.23147100400000001</v>
      </c>
      <c r="M517">
        <v>0.01</v>
      </c>
      <c r="N517">
        <v>1</v>
      </c>
    </row>
    <row r="518" spans="1:14" x14ac:dyDescent="0.25">
      <c r="A518" t="s">
        <v>143</v>
      </c>
      <c r="B518" t="s">
        <v>346</v>
      </c>
      <c r="C518" t="s">
        <v>17</v>
      </c>
      <c r="D518">
        <v>1</v>
      </c>
      <c r="E518">
        <v>1000</v>
      </c>
      <c r="F518">
        <v>5.8681000000000001</v>
      </c>
      <c r="G518">
        <v>5.9656359999999999</v>
      </c>
      <c r="H518">
        <v>9.7496521799999999E-2</v>
      </c>
      <c r="I518">
        <v>2.8582E-2</v>
      </c>
      <c r="J518">
        <v>2.9703E-2</v>
      </c>
      <c r="K518">
        <v>3.9215595499999999E-2</v>
      </c>
      <c r="L518">
        <v>1.6614555600000001E-2</v>
      </c>
      <c r="M518">
        <v>8.4000000000000005E-2</v>
      </c>
      <c r="N518">
        <v>1</v>
      </c>
    </row>
    <row r="519" spans="1:14" x14ac:dyDescent="0.25">
      <c r="A519" t="s">
        <v>143</v>
      </c>
      <c r="B519" t="s">
        <v>346</v>
      </c>
      <c r="C519" t="s">
        <v>18</v>
      </c>
      <c r="D519">
        <v>1</v>
      </c>
      <c r="E519">
        <v>1000</v>
      </c>
      <c r="F519">
        <v>2.8400000000000002E-2</v>
      </c>
      <c r="G519">
        <v>2.7042E-2</v>
      </c>
      <c r="H519">
        <v>-1.3742229999999999E-3</v>
      </c>
      <c r="I519">
        <v>1.8582000000000001E-2</v>
      </c>
      <c r="J519">
        <v>1.8200000000000001E-2</v>
      </c>
      <c r="K519">
        <v>-2.0529024E-2</v>
      </c>
      <c r="L519">
        <v>-4.8359991999999997E-2</v>
      </c>
      <c r="M519">
        <v>0.94</v>
      </c>
      <c r="N519">
        <v>0.32300000000000001</v>
      </c>
    </row>
    <row r="520" spans="1:14" x14ac:dyDescent="0.25">
      <c r="A520" t="s">
        <v>143</v>
      </c>
      <c r="B520" t="s">
        <v>347</v>
      </c>
      <c r="C520" t="s">
        <v>12</v>
      </c>
      <c r="D520">
        <v>1</v>
      </c>
      <c r="E520">
        <v>1000</v>
      </c>
      <c r="F520">
        <v>3.1354000000000002</v>
      </c>
      <c r="G520">
        <v>2.8617789999999999</v>
      </c>
      <c r="H520">
        <v>-0.27361184100000002</v>
      </c>
      <c r="I520">
        <v>0.17336299999999999</v>
      </c>
      <c r="J520">
        <v>0.168655</v>
      </c>
      <c r="K520">
        <v>-2.7153525000000001E-2</v>
      </c>
      <c r="L520">
        <v>-8.7265620000000002E-2</v>
      </c>
      <c r="M520">
        <v>0.60899999999999999</v>
      </c>
      <c r="N520">
        <v>1</v>
      </c>
    </row>
    <row r="521" spans="1:14" x14ac:dyDescent="0.25">
      <c r="A521" t="s">
        <v>143</v>
      </c>
      <c r="B521" t="s">
        <v>347</v>
      </c>
      <c r="C521" t="s">
        <v>13</v>
      </c>
      <c r="D521">
        <v>1</v>
      </c>
      <c r="E521">
        <v>1000</v>
      </c>
      <c r="F521">
        <v>-0.44119999999999998</v>
      </c>
      <c r="G521">
        <v>-0.41929899999999998</v>
      </c>
      <c r="H521">
        <v>2.1907465899999999E-2</v>
      </c>
      <c r="I521">
        <v>6.6741999999999996E-2</v>
      </c>
      <c r="J521">
        <v>6.4649999999999999E-2</v>
      </c>
      <c r="K521">
        <v>-3.1341247000000003E-2</v>
      </c>
      <c r="L521">
        <v>-4.9653568000000002E-2</v>
      </c>
      <c r="M521">
        <v>0.93899999999999995</v>
      </c>
      <c r="N521">
        <v>1</v>
      </c>
    </row>
    <row r="522" spans="1:14" x14ac:dyDescent="0.25">
      <c r="A522" t="s">
        <v>143</v>
      </c>
      <c r="B522" t="s">
        <v>347</v>
      </c>
      <c r="C522" t="s">
        <v>14</v>
      </c>
      <c r="D522">
        <v>1</v>
      </c>
      <c r="E522">
        <v>1000</v>
      </c>
      <c r="F522">
        <v>-7.3000000000000001E-3</v>
      </c>
      <c r="G522">
        <v>-8.8599999999999998E-3</v>
      </c>
      <c r="H522">
        <v>-1.5462259999999999E-3</v>
      </c>
      <c r="I522">
        <v>3.8212999999999997E-2</v>
      </c>
      <c r="J522">
        <v>3.9114000000000003E-2</v>
      </c>
      <c r="K522">
        <v>2.35800052E-2</v>
      </c>
      <c r="L522">
        <v>0.21140722319999999</v>
      </c>
      <c r="M522">
        <v>0.95699999999999996</v>
      </c>
      <c r="N522">
        <v>0.05</v>
      </c>
    </row>
    <row r="523" spans="1:14" x14ac:dyDescent="0.25">
      <c r="A523" t="s">
        <v>143</v>
      </c>
      <c r="B523" t="s">
        <v>347</v>
      </c>
      <c r="C523" t="s">
        <v>15</v>
      </c>
      <c r="D523">
        <v>1</v>
      </c>
      <c r="E523">
        <v>1000</v>
      </c>
      <c r="F523">
        <v>-0.45419999999999999</v>
      </c>
      <c r="G523">
        <v>-0.397754</v>
      </c>
      <c r="H523">
        <v>5.6433874000000002E-2</v>
      </c>
      <c r="I523">
        <v>4.0785000000000002E-2</v>
      </c>
      <c r="J523">
        <v>4.0468999999999998E-2</v>
      </c>
      <c r="K523">
        <v>-7.7545440000000004E-3</v>
      </c>
      <c r="L523">
        <v>-0.12425222</v>
      </c>
      <c r="M523">
        <v>0.69499999999999995</v>
      </c>
      <c r="N523">
        <v>1</v>
      </c>
    </row>
    <row r="524" spans="1:14" x14ac:dyDescent="0.25">
      <c r="A524" t="s">
        <v>143</v>
      </c>
      <c r="B524" t="s">
        <v>347</v>
      </c>
      <c r="C524" t="s">
        <v>16</v>
      </c>
      <c r="D524">
        <v>1</v>
      </c>
      <c r="E524">
        <v>1000</v>
      </c>
      <c r="F524">
        <v>-8.2500000000000004E-2</v>
      </c>
      <c r="G524">
        <v>-0.134385</v>
      </c>
      <c r="H524">
        <v>-5.1842922E-2</v>
      </c>
      <c r="I524">
        <v>5.0292000000000003E-2</v>
      </c>
      <c r="J524">
        <v>5.1213000000000002E-2</v>
      </c>
      <c r="K524">
        <v>1.83135613E-2</v>
      </c>
      <c r="L524">
        <v>0.62807616109999997</v>
      </c>
      <c r="M524">
        <v>0.83399999999999996</v>
      </c>
      <c r="N524">
        <v>0.75800000000000001</v>
      </c>
    </row>
    <row r="525" spans="1:14" x14ac:dyDescent="0.25">
      <c r="A525" t="s">
        <v>143</v>
      </c>
      <c r="B525" t="s">
        <v>347</v>
      </c>
      <c r="C525" t="s">
        <v>17</v>
      </c>
      <c r="D525">
        <v>1</v>
      </c>
      <c r="E525">
        <v>1000</v>
      </c>
      <c r="F525">
        <v>-0.12590000000000001</v>
      </c>
      <c r="G525">
        <v>-0.13864199999999999</v>
      </c>
      <c r="H525">
        <v>-1.2695863999999999E-2</v>
      </c>
      <c r="I525">
        <v>4.3420000000000004E-3</v>
      </c>
      <c r="J525">
        <v>4.2810000000000001E-3</v>
      </c>
      <c r="K525">
        <v>-1.4065663000000001E-2</v>
      </c>
      <c r="L525">
        <v>0.1008037963</v>
      </c>
      <c r="M525">
        <v>0.17299999999999999</v>
      </c>
      <c r="N525">
        <v>1</v>
      </c>
    </row>
    <row r="526" spans="1:14" x14ac:dyDescent="0.25">
      <c r="A526" t="s">
        <v>143</v>
      </c>
      <c r="B526" t="s">
        <v>347</v>
      </c>
      <c r="C526" t="s">
        <v>18</v>
      </c>
      <c r="D526">
        <v>1</v>
      </c>
      <c r="E526">
        <v>1000</v>
      </c>
      <c r="F526">
        <v>-6.9999999999999999E-4</v>
      </c>
      <c r="G526">
        <v>-2.2100000000000001E-4</v>
      </c>
      <c r="H526">
        <v>4.8639720000000003E-4</v>
      </c>
      <c r="I526">
        <v>2.2899999999999999E-3</v>
      </c>
      <c r="J526">
        <v>2.189E-3</v>
      </c>
      <c r="K526">
        <v>-4.4407462000000002E-2</v>
      </c>
      <c r="L526">
        <v>-0.68728164899999999</v>
      </c>
      <c r="M526">
        <v>0.92700000000000005</v>
      </c>
      <c r="N526">
        <v>6.7000000000000004E-2</v>
      </c>
    </row>
    <row r="527" spans="1:14" x14ac:dyDescent="0.25">
      <c r="A527" t="s">
        <v>143</v>
      </c>
      <c r="B527" t="s">
        <v>348</v>
      </c>
      <c r="C527" t="s">
        <v>12</v>
      </c>
      <c r="D527">
        <v>1</v>
      </c>
      <c r="E527">
        <v>1000</v>
      </c>
      <c r="F527">
        <v>3.1354000000000002</v>
      </c>
      <c r="G527">
        <v>2.8617789999999999</v>
      </c>
      <c r="H527">
        <v>-0.27361184100000002</v>
      </c>
      <c r="I527">
        <v>0.17336299999999999</v>
      </c>
      <c r="J527">
        <v>0.168655</v>
      </c>
      <c r="K527">
        <v>-2.7153525000000001E-2</v>
      </c>
      <c r="L527">
        <v>-8.7265620000000002E-2</v>
      </c>
      <c r="M527">
        <v>0.60899999999999999</v>
      </c>
      <c r="N527">
        <v>1</v>
      </c>
    </row>
    <row r="528" spans="1:14" x14ac:dyDescent="0.25">
      <c r="A528" t="s">
        <v>143</v>
      </c>
      <c r="B528" t="s">
        <v>348</v>
      </c>
      <c r="C528" t="s">
        <v>13</v>
      </c>
      <c r="D528">
        <v>1</v>
      </c>
      <c r="E528">
        <v>1000</v>
      </c>
      <c r="F528">
        <v>-0.44119999999999998</v>
      </c>
      <c r="G528">
        <v>-0.41929899999999998</v>
      </c>
      <c r="H528">
        <v>2.1907465899999999E-2</v>
      </c>
      <c r="I528">
        <v>6.6741999999999996E-2</v>
      </c>
      <c r="J528">
        <v>6.4649999999999999E-2</v>
      </c>
      <c r="K528">
        <v>-3.1341247000000003E-2</v>
      </c>
      <c r="L528">
        <v>-4.9653568000000002E-2</v>
      </c>
      <c r="M528">
        <v>0.93899999999999995</v>
      </c>
      <c r="N528">
        <v>1</v>
      </c>
    </row>
    <row r="529" spans="1:14" x14ac:dyDescent="0.25">
      <c r="A529" t="s">
        <v>143</v>
      </c>
      <c r="B529" t="s">
        <v>348</v>
      </c>
      <c r="C529" t="s">
        <v>14</v>
      </c>
      <c r="D529">
        <v>1</v>
      </c>
      <c r="E529">
        <v>1000</v>
      </c>
      <c r="F529">
        <v>-7.3000000000000001E-3</v>
      </c>
      <c r="G529">
        <v>-8.8599999999999998E-3</v>
      </c>
      <c r="H529">
        <v>-1.5462259999999999E-3</v>
      </c>
      <c r="I529">
        <v>3.8212999999999997E-2</v>
      </c>
      <c r="J529">
        <v>3.9114000000000003E-2</v>
      </c>
      <c r="K529">
        <v>2.35800052E-2</v>
      </c>
      <c r="L529">
        <v>0.21140722319999999</v>
      </c>
      <c r="M529">
        <v>0.95699999999999996</v>
      </c>
      <c r="N529">
        <v>0.05</v>
      </c>
    </row>
    <row r="530" spans="1:14" x14ac:dyDescent="0.25">
      <c r="A530" t="s">
        <v>143</v>
      </c>
      <c r="B530" t="s">
        <v>348</v>
      </c>
      <c r="C530" t="s">
        <v>15</v>
      </c>
      <c r="D530">
        <v>1</v>
      </c>
      <c r="E530">
        <v>1000</v>
      </c>
      <c r="F530">
        <v>-0.45419999999999999</v>
      </c>
      <c r="G530">
        <v>-0.397754</v>
      </c>
      <c r="H530">
        <v>5.6433874000000002E-2</v>
      </c>
      <c r="I530">
        <v>4.0785000000000002E-2</v>
      </c>
      <c r="J530">
        <v>4.0468999999999998E-2</v>
      </c>
      <c r="K530">
        <v>-7.7545440000000004E-3</v>
      </c>
      <c r="L530">
        <v>-0.12425222</v>
      </c>
      <c r="M530">
        <v>0.69499999999999995</v>
      </c>
      <c r="N530">
        <v>1</v>
      </c>
    </row>
    <row r="531" spans="1:14" x14ac:dyDescent="0.25">
      <c r="A531" t="s">
        <v>143</v>
      </c>
      <c r="B531" t="s">
        <v>348</v>
      </c>
      <c r="C531" t="s">
        <v>16</v>
      </c>
      <c r="D531">
        <v>1</v>
      </c>
      <c r="E531">
        <v>1000</v>
      </c>
      <c r="F531">
        <v>-8.2500000000000004E-2</v>
      </c>
      <c r="G531">
        <v>-0.134385</v>
      </c>
      <c r="H531">
        <v>-5.1842922E-2</v>
      </c>
      <c r="I531">
        <v>5.0292000000000003E-2</v>
      </c>
      <c r="J531">
        <v>5.1213000000000002E-2</v>
      </c>
      <c r="K531">
        <v>1.83135613E-2</v>
      </c>
      <c r="L531">
        <v>0.62807616109999997</v>
      </c>
      <c r="M531">
        <v>0.83399999999999996</v>
      </c>
      <c r="N531">
        <v>0.75800000000000001</v>
      </c>
    </row>
    <row r="532" spans="1:14" x14ac:dyDescent="0.25">
      <c r="A532" t="s">
        <v>143</v>
      </c>
      <c r="B532" t="s">
        <v>348</v>
      </c>
      <c r="C532" t="s">
        <v>17</v>
      </c>
      <c r="D532">
        <v>1</v>
      </c>
      <c r="E532">
        <v>1000</v>
      </c>
      <c r="F532">
        <v>-0.12590000000000001</v>
      </c>
      <c r="G532">
        <v>-0.13864199999999999</v>
      </c>
      <c r="H532">
        <v>-1.2695863999999999E-2</v>
      </c>
      <c r="I532">
        <v>4.3420000000000004E-3</v>
      </c>
      <c r="J532">
        <v>4.2810000000000001E-3</v>
      </c>
      <c r="K532">
        <v>-1.4065663000000001E-2</v>
      </c>
      <c r="L532">
        <v>0.1008037963</v>
      </c>
      <c r="M532">
        <v>0.17299999999999999</v>
      </c>
      <c r="N532">
        <v>1</v>
      </c>
    </row>
    <row r="533" spans="1:14" x14ac:dyDescent="0.25">
      <c r="A533" t="s">
        <v>143</v>
      </c>
      <c r="B533" t="s">
        <v>348</v>
      </c>
      <c r="C533" t="s">
        <v>18</v>
      </c>
      <c r="D533">
        <v>1</v>
      </c>
      <c r="E533">
        <v>1000</v>
      </c>
      <c r="F533">
        <v>-6.9999999999999999E-4</v>
      </c>
      <c r="G533">
        <v>-2.2100000000000001E-4</v>
      </c>
      <c r="H533">
        <v>4.8639720000000003E-4</v>
      </c>
      <c r="I533">
        <v>2.2899999999999999E-3</v>
      </c>
      <c r="J533">
        <v>2.189E-3</v>
      </c>
      <c r="K533">
        <v>-4.4407462000000002E-2</v>
      </c>
      <c r="L533">
        <v>-0.68728164899999999</v>
      </c>
      <c r="M533">
        <v>0.92700000000000005</v>
      </c>
      <c r="N533">
        <v>6.7000000000000004E-2</v>
      </c>
    </row>
    <row r="534" spans="1:14" x14ac:dyDescent="0.25">
      <c r="A534" t="s">
        <v>143</v>
      </c>
      <c r="B534" t="s">
        <v>349</v>
      </c>
      <c r="C534" t="s">
        <v>12</v>
      </c>
      <c r="D534">
        <v>1</v>
      </c>
      <c r="E534">
        <v>1000</v>
      </c>
      <c r="F534">
        <v>3.1354000000000002</v>
      </c>
      <c r="G534">
        <v>2.9935969999999998</v>
      </c>
      <c r="H534">
        <v>-0.141794113</v>
      </c>
      <c r="I534">
        <v>0.17801600000000001</v>
      </c>
      <c r="J534">
        <v>0.170738</v>
      </c>
      <c r="K534">
        <v>-4.0881569E-2</v>
      </c>
      <c r="L534">
        <v>-4.5223741999999997E-2</v>
      </c>
      <c r="M534">
        <v>0.85099999999999998</v>
      </c>
      <c r="N534">
        <v>1</v>
      </c>
    </row>
    <row r="535" spans="1:14" x14ac:dyDescent="0.25">
      <c r="A535" t="s">
        <v>143</v>
      </c>
      <c r="B535" t="s">
        <v>349</v>
      </c>
      <c r="C535" t="s">
        <v>13</v>
      </c>
      <c r="D535">
        <v>1</v>
      </c>
      <c r="E535">
        <v>1000</v>
      </c>
      <c r="F535">
        <v>-0.44119999999999998</v>
      </c>
      <c r="G535">
        <v>-0.45228499999999999</v>
      </c>
      <c r="H535">
        <v>-1.107903E-2</v>
      </c>
      <c r="I535">
        <v>6.8837999999999996E-2</v>
      </c>
      <c r="J535">
        <v>6.5174999999999997E-2</v>
      </c>
      <c r="K535">
        <v>-5.3213550999999998E-2</v>
      </c>
      <c r="L535">
        <v>2.5110772E-2</v>
      </c>
      <c r="M535">
        <v>0.93100000000000005</v>
      </c>
      <c r="N535">
        <v>1</v>
      </c>
    </row>
    <row r="536" spans="1:14" x14ac:dyDescent="0.25">
      <c r="A536" t="s">
        <v>143</v>
      </c>
      <c r="B536" t="s">
        <v>349</v>
      </c>
      <c r="C536" t="s">
        <v>14</v>
      </c>
      <c r="D536">
        <v>1</v>
      </c>
      <c r="E536">
        <v>1000</v>
      </c>
      <c r="F536">
        <v>-7.3000000000000001E-3</v>
      </c>
      <c r="G536">
        <v>-1.407E-3</v>
      </c>
      <c r="H536">
        <v>5.9066531999999996E-3</v>
      </c>
      <c r="I536">
        <v>3.9234999999999999E-2</v>
      </c>
      <c r="J536">
        <v>3.9726999999999998E-2</v>
      </c>
      <c r="K536">
        <v>1.2538576100000001E-2</v>
      </c>
      <c r="L536">
        <v>-0.80758521699999997</v>
      </c>
      <c r="M536">
        <v>0.95199999999999996</v>
      </c>
      <c r="N536">
        <v>4.7E-2</v>
      </c>
    </row>
    <row r="537" spans="1:14" x14ac:dyDescent="0.25">
      <c r="A537" t="s">
        <v>143</v>
      </c>
      <c r="B537" t="s">
        <v>349</v>
      </c>
      <c r="C537" t="s">
        <v>15</v>
      </c>
      <c r="D537">
        <v>1</v>
      </c>
      <c r="E537">
        <v>1000</v>
      </c>
      <c r="F537">
        <v>-0.45419999999999999</v>
      </c>
      <c r="G537">
        <v>-0.417879</v>
      </c>
      <c r="H537">
        <v>3.6308788000000002E-2</v>
      </c>
      <c r="I537">
        <v>4.2546E-2</v>
      </c>
      <c r="J537">
        <v>4.0902000000000001E-2</v>
      </c>
      <c r="K537">
        <v>-3.8630324000000001E-2</v>
      </c>
      <c r="L537">
        <v>-7.9942190999999996E-2</v>
      </c>
      <c r="M537">
        <v>0.84699999999999998</v>
      </c>
      <c r="N537">
        <v>1</v>
      </c>
    </row>
    <row r="538" spans="1:14" x14ac:dyDescent="0.25">
      <c r="A538" t="s">
        <v>143</v>
      </c>
      <c r="B538" t="s">
        <v>349</v>
      </c>
      <c r="C538" t="s">
        <v>16</v>
      </c>
      <c r="D538">
        <v>1</v>
      </c>
      <c r="E538">
        <v>1000</v>
      </c>
      <c r="F538">
        <v>-8.2500000000000004E-2</v>
      </c>
      <c r="G538">
        <v>-0.109432</v>
      </c>
      <c r="H538">
        <v>-2.6889863E-2</v>
      </c>
      <c r="I538">
        <v>5.0642E-2</v>
      </c>
      <c r="J538">
        <v>5.0227000000000001E-2</v>
      </c>
      <c r="K538">
        <v>-8.1986049999999994E-3</v>
      </c>
      <c r="L538">
        <v>0.32577025030000001</v>
      </c>
      <c r="M538">
        <v>0.92</v>
      </c>
      <c r="N538">
        <v>0.59199999999999997</v>
      </c>
    </row>
    <row r="539" spans="1:14" x14ac:dyDescent="0.25">
      <c r="A539" t="s">
        <v>143</v>
      </c>
      <c r="B539" t="s">
        <v>349</v>
      </c>
      <c r="C539" t="s">
        <v>17</v>
      </c>
      <c r="D539">
        <v>1</v>
      </c>
      <c r="E539">
        <v>1000</v>
      </c>
      <c r="F539">
        <v>-0.12590000000000001</v>
      </c>
      <c r="G539">
        <v>-0.120162</v>
      </c>
      <c r="H539">
        <v>5.7838871000000002E-3</v>
      </c>
      <c r="I539">
        <v>4.1929999999999997E-3</v>
      </c>
      <c r="J539">
        <v>4.2160000000000001E-3</v>
      </c>
      <c r="K539">
        <v>5.6395157000000001E-3</v>
      </c>
      <c r="L539">
        <v>-4.5923443000000001E-2</v>
      </c>
      <c r="M539">
        <v>0.71299999999999997</v>
      </c>
      <c r="N539">
        <v>1</v>
      </c>
    </row>
    <row r="540" spans="1:14" x14ac:dyDescent="0.25">
      <c r="A540" t="s">
        <v>143</v>
      </c>
      <c r="B540" t="s">
        <v>349</v>
      </c>
      <c r="C540" t="s">
        <v>18</v>
      </c>
      <c r="D540">
        <v>1</v>
      </c>
      <c r="E540">
        <v>1000</v>
      </c>
      <c r="F540">
        <v>-6.9999999999999999E-4</v>
      </c>
      <c r="G540">
        <v>-1.108E-3</v>
      </c>
      <c r="H540">
        <v>-4.0056299999999999E-4</v>
      </c>
      <c r="I540">
        <v>2.2309999999999999E-3</v>
      </c>
      <c r="J540">
        <v>2.2030000000000001E-3</v>
      </c>
      <c r="K540">
        <v>-1.2377028999999999E-2</v>
      </c>
      <c r="L540">
        <v>0.56599760970000002</v>
      </c>
      <c r="M540">
        <v>0.93700000000000006</v>
      </c>
      <c r="N540">
        <v>8.4000000000000005E-2</v>
      </c>
    </row>
    <row r="541" spans="1:14" x14ac:dyDescent="0.25">
      <c r="A541" t="s">
        <v>143</v>
      </c>
      <c r="B541" t="s">
        <v>350</v>
      </c>
      <c r="C541" t="s">
        <v>12</v>
      </c>
      <c r="D541">
        <v>1</v>
      </c>
      <c r="E541">
        <v>1000</v>
      </c>
      <c r="F541">
        <v>3.1354000000000002</v>
      </c>
      <c r="G541">
        <v>2.9935969999999998</v>
      </c>
      <c r="H541">
        <v>-0.141794113</v>
      </c>
      <c r="I541">
        <v>0.17801600000000001</v>
      </c>
      <c r="J541">
        <v>0.170738</v>
      </c>
      <c r="K541">
        <v>-4.0881569E-2</v>
      </c>
      <c r="L541">
        <v>-4.5223741999999997E-2</v>
      </c>
      <c r="M541">
        <v>0.85099999999999998</v>
      </c>
      <c r="N541">
        <v>1</v>
      </c>
    </row>
    <row r="542" spans="1:14" x14ac:dyDescent="0.25">
      <c r="A542" t="s">
        <v>143</v>
      </c>
      <c r="B542" t="s">
        <v>350</v>
      </c>
      <c r="C542" t="s">
        <v>13</v>
      </c>
      <c r="D542">
        <v>1</v>
      </c>
      <c r="E542">
        <v>1000</v>
      </c>
      <c r="F542">
        <v>-0.44119999999999998</v>
      </c>
      <c r="G542">
        <v>-0.45228499999999999</v>
      </c>
      <c r="H542">
        <v>-1.107903E-2</v>
      </c>
      <c r="I542">
        <v>6.8837999999999996E-2</v>
      </c>
      <c r="J542">
        <v>6.5174999999999997E-2</v>
      </c>
      <c r="K542">
        <v>-5.3213550999999998E-2</v>
      </c>
      <c r="L542">
        <v>2.5110772E-2</v>
      </c>
      <c r="M542">
        <v>0.93100000000000005</v>
      </c>
      <c r="N542">
        <v>1</v>
      </c>
    </row>
    <row r="543" spans="1:14" x14ac:dyDescent="0.25">
      <c r="A543" t="s">
        <v>143</v>
      </c>
      <c r="B543" t="s">
        <v>350</v>
      </c>
      <c r="C543" t="s">
        <v>14</v>
      </c>
      <c r="D543">
        <v>1</v>
      </c>
      <c r="E543">
        <v>1000</v>
      </c>
      <c r="F543">
        <v>-7.3000000000000001E-3</v>
      </c>
      <c r="G543">
        <v>-1.407E-3</v>
      </c>
      <c r="H543">
        <v>5.9066531999999996E-3</v>
      </c>
      <c r="I543">
        <v>3.9234999999999999E-2</v>
      </c>
      <c r="J543">
        <v>3.9726999999999998E-2</v>
      </c>
      <c r="K543">
        <v>1.2538576100000001E-2</v>
      </c>
      <c r="L543">
        <v>-0.80758521699999997</v>
      </c>
      <c r="M543">
        <v>0.95199999999999996</v>
      </c>
      <c r="N543">
        <v>4.7E-2</v>
      </c>
    </row>
    <row r="544" spans="1:14" x14ac:dyDescent="0.25">
      <c r="A544" t="s">
        <v>143</v>
      </c>
      <c r="B544" t="s">
        <v>350</v>
      </c>
      <c r="C544" t="s">
        <v>15</v>
      </c>
      <c r="D544">
        <v>1</v>
      </c>
      <c r="E544">
        <v>1000</v>
      </c>
      <c r="F544">
        <v>-0.45419999999999999</v>
      </c>
      <c r="G544">
        <v>-0.417879</v>
      </c>
      <c r="H544">
        <v>3.6308788000000002E-2</v>
      </c>
      <c r="I544">
        <v>4.2546E-2</v>
      </c>
      <c r="J544">
        <v>4.0902000000000001E-2</v>
      </c>
      <c r="K544">
        <v>-3.8630324000000001E-2</v>
      </c>
      <c r="L544">
        <v>-7.9942190999999996E-2</v>
      </c>
      <c r="M544">
        <v>0.84699999999999998</v>
      </c>
      <c r="N544">
        <v>1</v>
      </c>
    </row>
    <row r="545" spans="1:24" x14ac:dyDescent="0.25">
      <c r="A545" t="s">
        <v>143</v>
      </c>
      <c r="B545" t="s">
        <v>350</v>
      </c>
      <c r="C545" t="s">
        <v>16</v>
      </c>
      <c r="D545">
        <v>1</v>
      </c>
      <c r="E545">
        <v>1000</v>
      </c>
      <c r="F545">
        <v>-8.2500000000000004E-2</v>
      </c>
      <c r="G545">
        <v>-0.109432</v>
      </c>
      <c r="H545">
        <v>-2.6889863E-2</v>
      </c>
      <c r="I545">
        <v>5.0642E-2</v>
      </c>
      <c r="J545">
        <v>5.0227000000000001E-2</v>
      </c>
      <c r="K545">
        <v>-8.1986049999999994E-3</v>
      </c>
      <c r="L545">
        <v>0.32577025030000001</v>
      </c>
      <c r="M545">
        <v>0.92</v>
      </c>
      <c r="N545">
        <v>0.59199999999999997</v>
      </c>
    </row>
    <row r="546" spans="1:24" x14ac:dyDescent="0.25">
      <c r="A546" t="s">
        <v>143</v>
      </c>
      <c r="B546" t="s">
        <v>350</v>
      </c>
      <c r="C546" t="s">
        <v>17</v>
      </c>
      <c r="D546">
        <v>1</v>
      </c>
      <c r="E546">
        <v>1000</v>
      </c>
      <c r="F546">
        <v>-0.12590000000000001</v>
      </c>
      <c r="G546">
        <v>-0.120162</v>
      </c>
      <c r="H546">
        <v>5.7838871000000002E-3</v>
      </c>
      <c r="I546">
        <v>4.1929999999999997E-3</v>
      </c>
      <c r="J546">
        <v>4.2160000000000001E-3</v>
      </c>
      <c r="K546">
        <v>5.6395157000000001E-3</v>
      </c>
      <c r="L546">
        <v>-4.5923443000000001E-2</v>
      </c>
      <c r="M546">
        <v>0.71299999999999997</v>
      </c>
      <c r="N546">
        <v>1</v>
      </c>
    </row>
    <row r="547" spans="1:24" x14ac:dyDescent="0.25">
      <c r="A547" t="s">
        <v>143</v>
      </c>
      <c r="B547" t="s">
        <v>350</v>
      </c>
      <c r="C547" t="s">
        <v>18</v>
      </c>
      <c r="D547">
        <v>1</v>
      </c>
      <c r="E547">
        <v>1000</v>
      </c>
      <c r="F547">
        <v>-6.9999999999999999E-4</v>
      </c>
      <c r="G547">
        <v>-1.108E-3</v>
      </c>
      <c r="H547">
        <v>-4.0056299999999999E-4</v>
      </c>
      <c r="I547">
        <v>2.2309999999999999E-3</v>
      </c>
      <c r="J547">
        <v>2.2030000000000001E-3</v>
      </c>
      <c r="K547">
        <v>-1.2377028999999999E-2</v>
      </c>
      <c r="L547">
        <v>0.56599760970000002</v>
      </c>
      <c r="M547">
        <v>0.93700000000000006</v>
      </c>
      <c r="N547">
        <v>8.4000000000000005E-2</v>
      </c>
    </row>
    <row r="548" spans="1:24" x14ac:dyDescent="0.25">
      <c r="A548" t="s">
        <v>143</v>
      </c>
      <c r="B548" t="s">
        <v>625</v>
      </c>
      <c r="C548" t="s">
        <v>12</v>
      </c>
      <c r="D548">
        <v>1</v>
      </c>
      <c r="E548">
        <v>1000</v>
      </c>
      <c r="F548">
        <v>107.0774</v>
      </c>
      <c r="G548">
        <v>110.026133</v>
      </c>
      <c r="H548">
        <v>2.9487246879</v>
      </c>
      <c r="I548">
        <v>1.490648</v>
      </c>
      <c r="J548">
        <v>1.4956499999999999</v>
      </c>
      <c r="K548">
        <v>3.3557440999999999E-3</v>
      </c>
      <c r="L548">
        <v>2.75382523E-2</v>
      </c>
      <c r="M548">
        <v>0.48199999999999998</v>
      </c>
      <c r="N548">
        <v>1</v>
      </c>
    </row>
    <row r="549" spans="1:24" x14ac:dyDescent="0.25">
      <c r="A549" t="s">
        <v>143</v>
      </c>
      <c r="B549" t="s">
        <v>625</v>
      </c>
      <c r="C549" t="s">
        <v>13</v>
      </c>
      <c r="D549">
        <v>1</v>
      </c>
      <c r="E549">
        <v>1000</v>
      </c>
      <c r="F549">
        <v>-4.7686000000000002</v>
      </c>
      <c r="G549">
        <v>-4.8296340000000004</v>
      </c>
      <c r="H549">
        <v>-6.0992093999999997E-2</v>
      </c>
      <c r="I549">
        <v>0.57473300000000005</v>
      </c>
      <c r="J549">
        <v>0.55929799999999996</v>
      </c>
      <c r="K549">
        <v>-2.6856227E-2</v>
      </c>
      <c r="L549">
        <v>1.2790244799999999E-2</v>
      </c>
      <c r="M549">
        <v>0.94</v>
      </c>
      <c r="N549">
        <v>1</v>
      </c>
    </row>
    <row r="550" spans="1:24" x14ac:dyDescent="0.25">
      <c r="A550" t="s">
        <v>143</v>
      </c>
      <c r="B550" t="s">
        <v>625</v>
      </c>
      <c r="C550" t="s">
        <v>14</v>
      </c>
      <c r="D550">
        <v>1</v>
      </c>
      <c r="E550">
        <v>1000</v>
      </c>
      <c r="F550">
        <v>8.6966999999999999</v>
      </c>
      <c r="G550">
        <v>6.6429260000000001</v>
      </c>
      <c r="H550">
        <v>-2.0537727600000002</v>
      </c>
      <c r="I550">
        <v>0.332318</v>
      </c>
      <c r="J550">
        <v>0.33518300000000001</v>
      </c>
      <c r="K550">
        <v>8.6211827000000005E-3</v>
      </c>
      <c r="L550">
        <v>-0.23615544699999999</v>
      </c>
      <c r="M550">
        <v>0</v>
      </c>
      <c r="N550">
        <v>1</v>
      </c>
    </row>
    <row r="551" spans="1:24" x14ac:dyDescent="0.25">
      <c r="A551" t="s">
        <v>143</v>
      </c>
      <c r="B551" t="s">
        <v>625</v>
      </c>
      <c r="C551" t="s">
        <v>15</v>
      </c>
      <c r="D551">
        <v>1</v>
      </c>
      <c r="E551">
        <v>1000</v>
      </c>
      <c r="F551">
        <v>-1.6103000000000001</v>
      </c>
      <c r="G551">
        <v>-2.1389909999999999</v>
      </c>
      <c r="H551">
        <v>-0.52869661599999995</v>
      </c>
      <c r="I551">
        <v>0.37006499999999998</v>
      </c>
      <c r="J551">
        <v>0.36049700000000001</v>
      </c>
      <c r="K551">
        <v>-2.5854664999999999E-2</v>
      </c>
      <c r="L551">
        <v>0.32832292239999999</v>
      </c>
      <c r="M551">
        <v>0.68400000000000005</v>
      </c>
      <c r="N551">
        <v>1</v>
      </c>
    </row>
    <row r="552" spans="1:24" x14ac:dyDescent="0.25">
      <c r="A552" t="s">
        <v>143</v>
      </c>
      <c r="B552" t="s">
        <v>625</v>
      </c>
      <c r="C552" t="s">
        <v>16</v>
      </c>
      <c r="D552">
        <v>1</v>
      </c>
      <c r="E552">
        <v>1000</v>
      </c>
      <c r="F552">
        <v>-7.9151999999999996</v>
      </c>
      <c r="G552">
        <v>-6.0909839999999997</v>
      </c>
      <c r="H552">
        <v>1.8241912971000001</v>
      </c>
      <c r="I552">
        <v>0.40463900000000003</v>
      </c>
      <c r="J552">
        <v>0.42003699999999999</v>
      </c>
      <c r="K552">
        <v>3.8053953100000003E-2</v>
      </c>
      <c r="L552">
        <v>-0.23046757000000001</v>
      </c>
      <c r="M552">
        <v>6.0000000000000001E-3</v>
      </c>
      <c r="N552">
        <v>1</v>
      </c>
    </row>
    <row r="553" spans="1:24" x14ac:dyDescent="0.25">
      <c r="A553" t="s">
        <v>143</v>
      </c>
      <c r="B553" t="s">
        <v>625</v>
      </c>
      <c r="C553" t="s">
        <v>17</v>
      </c>
      <c r="D553">
        <v>1</v>
      </c>
      <c r="E553">
        <v>1000</v>
      </c>
      <c r="F553">
        <v>5.8681000000000001</v>
      </c>
      <c r="G553">
        <v>5.966577</v>
      </c>
      <c r="H553">
        <v>9.8438069500000003E-2</v>
      </c>
      <c r="I553">
        <v>3.0807999999999999E-2</v>
      </c>
      <c r="J553">
        <v>2.9779E-2</v>
      </c>
      <c r="K553">
        <v>-3.3390525999999997E-2</v>
      </c>
      <c r="L553">
        <v>1.67750064E-2</v>
      </c>
      <c r="M553">
        <v>9.5000000000000001E-2</v>
      </c>
      <c r="N553">
        <v>1</v>
      </c>
    </row>
    <row r="554" spans="1:24" x14ac:dyDescent="0.25">
      <c r="A554" t="s">
        <v>143</v>
      </c>
      <c r="B554" t="s">
        <v>625</v>
      </c>
      <c r="C554" t="s">
        <v>18</v>
      </c>
      <c r="D554">
        <v>1</v>
      </c>
      <c r="E554">
        <v>1000</v>
      </c>
      <c r="F554">
        <v>2.8400000000000002E-2</v>
      </c>
      <c r="G554">
        <v>2.6152999999999999E-2</v>
      </c>
      <c r="H554">
        <v>-2.2639729999999999E-3</v>
      </c>
      <c r="I554">
        <v>1.8304999999999998E-2</v>
      </c>
      <c r="J554">
        <v>1.8207000000000001E-2</v>
      </c>
      <c r="K554">
        <v>-5.376016E-3</v>
      </c>
      <c r="L554">
        <v>-7.9671017999999996E-2</v>
      </c>
      <c r="M554">
        <v>0.94299999999999995</v>
      </c>
      <c r="N554">
        <v>0.30599999999999999</v>
      </c>
    </row>
    <row r="555" spans="1:24" x14ac:dyDescent="0.25">
      <c r="A555" t="s">
        <v>143</v>
      </c>
      <c r="B555" t="s">
        <v>627</v>
      </c>
      <c r="C555" t="s">
        <v>12</v>
      </c>
      <c r="D555">
        <v>1</v>
      </c>
      <c r="E555">
        <v>920</v>
      </c>
      <c r="F555">
        <v>3.1354000000000002</v>
      </c>
      <c r="G555">
        <v>2.993468</v>
      </c>
      <c r="H555">
        <v>-0.141923516</v>
      </c>
      <c r="I555">
        <v>0.17937600000000001</v>
      </c>
      <c r="J555">
        <v>0.17082600000000001</v>
      </c>
      <c r="K555">
        <v>-4.7667073999999997E-2</v>
      </c>
      <c r="L555">
        <v>-4.5265013E-2</v>
      </c>
      <c r="M555">
        <v>0.84891304349999996</v>
      </c>
      <c r="N555">
        <v>1</v>
      </c>
    </row>
    <row r="556" spans="1:24" x14ac:dyDescent="0.25">
      <c r="A556" t="s">
        <v>143</v>
      </c>
      <c r="B556" t="s">
        <v>627</v>
      </c>
      <c r="C556" t="s">
        <v>13</v>
      </c>
      <c r="D556">
        <v>1</v>
      </c>
      <c r="E556">
        <v>920</v>
      </c>
      <c r="F556">
        <v>-0.44119999999999998</v>
      </c>
      <c r="G556">
        <v>-0.45272200000000001</v>
      </c>
      <c r="H556">
        <v>-1.1515312999999999E-2</v>
      </c>
      <c r="I556">
        <v>6.8720000000000003E-2</v>
      </c>
      <c r="J556">
        <v>6.5171000000000007E-2</v>
      </c>
      <c r="K556">
        <v>-5.1641865000000002E-2</v>
      </c>
      <c r="L556">
        <v>2.6099613099999999E-2</v>
      </c>
      <c r="M556">
        <v>0.93369565219999995</v>
      </c>
      <c r="N556">
        <v>1</v>
      </c>
    </row>
    <row r="557" spans="1:24" x14ac:dyDescent="0.25">
      <c r="A557" t="s">
        <v>143</v>
      </c>
      <c r="B557" t="s">
        <v>627</v>
      </c>
      <c r="C557" t="s">
        <v>14</v>
      </c>
      <c r="D557">
        <v>1</v>
      </c>
      <c r="E557">
        <v>920</v>
      </c>
      <c r="F557">
        <v>-7.3000000000000001E-3</v>
      </c>
      <c r="G557">
        <v>-1.6800000000000001E-3</v>
      </c>
      <c r="H557">
        <v>5.6336870000000001E-3</v>
      </c>
      <c r="I557">
        <v>3.8875E-2</v>
      </c>
      <c r="J557">
        <v>3.9720999999999999E-2</v>
      </c>
      <c r="K557">
        <v>2.17732177E-2</v>
      </c>
      <c r="L557">
        <v>-0.77026399800000001</v>
      </c>
      <c r="M557">
        <v>0.9532608696</v>
      </c>
      <c r="N557">
        <v>4.5652173900000002E-2</v>
      </c>
    </row>
    <row r="558" spans="1:24" x14ac:dyDescent="0.25">
      <c r="A558" t="s">
        <v>143</v>
      </c>
      <c r="B558" t="s">
        <v>627</v>
      </c>
      <c r="C558" t="s">
        <v>15</v>
      </c>
      <c r="D558">
        <v>1</v>
      </c>
      <c r="E558">
        <v>920</v>
      </c>
      <c r="F558">
        <v>-0.45419999999999999</v>
      </c>
      <c r="G558">
        <v>-0.41762500000000002</v>
      </c>
      <c r="H558">
        <v>3.6562562899999998E-2</v>
      </c>
      <c r="I558">
        <v>4.2757000000000003E-2</v>
      </c>
      <c r="J558">
        <v>4.0905999999999998E-2</v>
      </c>
      <c r="K558">
        <v>-4.3282585999999998E-2</v>
      </c>
      <c r="L558">
        <v>-8.0500934999999996E-2</v>
      </c>
      <c r="M558">
        <v>0.8434782609</v>
      </c>
      <c r="N558">
        <v>1</v>
      </c>
    </row>
    <row r="559" spans="1:24" x14ac:dyDescent="0.25">
      <c r="A559" t="s">
        <v>143</v>
      </c>
      <c r="B559" t="s">
        <v>627</v>
      </c>
      <c r="C559" t="s">
        <v>16</v>
      </c>
      <c r="D559">
        <v>1</v>
      </c>
      <c r="E559">
        <v>920</v>
      </c>
      <c r="F559">
        <v>-8.2500000000000004E-2</v>
      </c>
      <c r="G559">
        <v>-0.109264</v>
      </c>
      <c r="H559">
        <v>-2.6721708E-2</v>
      </c>
      <c r="I559">
        <v>5.0859000000000001E-2</v>
      </c>
      <c r="J559">
        <v>5.0224999999999999E-2</v>
      </c>
      <c r="K559">
        <v>-1.2477903E-2</v>
      </c>
      <c r="L559">
        <v>0.3237330584</v>
      </c>
      <c r="M559">
        <v>0.91956521739999997</v>
      </c>
      <c r="N559">
        <v>0.59130434779999996</v>
      </c>
    </row>
    <row r="560" spans="1:24" x14ac:dyDescent="0.25">
      <c r="A560" t="s">
        <v>143</v>
      </c>
      <c r="B560" t="s">
        <v>627</v>
      </c>
      <c r="C560" t="s">
        <v>17</v>
      </c>
      <c r="D560">
        <v>1</v>
      </c>
      <c r="E560">
        <v>920</v>
      </c>
      <c r="F560">
        <v>-0.12590000000000001</v>
      </c>
      <c r="G560">
        <v>-0.12017899999999999</v>
      </c>
      <c r="H560" s="4">
        <v>5.7669892000000002E-3</v>
      </c>
      <c r="I560">
        <v>4.2079999999999999E-3</v>
      </c>
      <c r="J560">
        <v>4.2209999999999999E-3</v>
      </c>
      <c r="K560">
        <v>2.9338131E-3</v>
      </c>
      <c r="L560">
        <v>-4.5789274999999997E-2</v>
      </c>
      <c r="M560">
        <v>0.70978260869999998</v>
      </c>
      <c r="N560">
        <v>1</v>
      </c>
      <c r="X560" s="4"/>
    </row>
    <row r="561" spans="1:14" x14ac:dyDescent="0.25">
      <c r="A561" t="s">
        <v>143</v>
      </c>
      <c r="B561" t="s">
        <v>627</v>
      </c>
      <c r="C561" t="s">
        <v>18</v>
      </c>
      <c r="D561">
        <v>1</v>
      </c>
      <c r="E561">
        <v>920</v>
      </c>
      <c r="F561">
        <v>-6.9999999999999999E-4</v>
      </c>
      <c r="G561">
        <v>-1.1169999999999999E-3</v>
      </c>
      <c r="H561">
        <v>-4.09243E-4</v>
      </c>
      <c r="I561">
        <v>2.251E-3</v>
      </c>
      <c r="J561">
        <v>2.2049999999999999E-3</v>
      </c>
      <c r="K561">
        <v>-2.0472247999999998E-2</v>
      </c>
      <c r="L561">
        <v>0.5782627199</v>
      </c>
      <c r="M561">
        <v>0.93369565219999995</v>
      </c>
      <c r="N561">
        <v>8.8043478300000005E-2</v>
      </c>
    </row>
    <row r="562" spans="1:14" x14ac:dyDescent="0.25">
      <c r="A562" t="s">
        <v>143</v>
      </c>
      <c r="B562" t="s">
        <v>163</v>
      </c>
      <c r="C562" t="s">
        <v>12</v>
      </c>
      <c r="D562">
        <v>1</v>
      </c>
      <c r="E562">
        <v>1000</v>
      </c>
      <c r="F562">
        <v>107.0774</v>
      </c>
      <c r="G562">
        <v>107.016868</v>
      </c>
      <c r="H562">
        <v>-6.0540082000000002E-2</v>
      </c>
      <c r="I562">
        <v>2.6571910000000001</v>
      </c>
      <c r="J562">
        <v>2.749209</v>
      </c>
      <c r="K562">
        <v>3.4629567700000002E-2</v>
      </c>
      <c r="L562">
        <v>-5.6538599999999997E-4</v>
      </c>
      <c r="M562">
        <v>0.95499999999999996</v>
      </c>
      <c r="N562">
        <v>0</v>
      </c>
    </row>
    <row r="563" spans="1:14" x14ac:dyDescent="0.25">
      <c r="A563" t="s">
        <v>143</v>
      </c>
      <c r="B563" t="s">
        <v>163</v>
      </c>
      <c r="C563" t="s">
        <v>13</v>
      </c>
      <c r="D563">
        <v>1</v>
      </c>
      <c r="E563">
        <v>1000</v>
      </c>
      <c r="F563">
        <v>-4.7686000000000002</v>
      </c>
      <c r="G563">
        <v>-5.0437390000000004</v>
      </c>
      <c r="H563">
        <v>-0.27509719399999999</v>
      </c>
      <c r="I563">
        <v>1.1634279999999999</v>
      </c>
      <c r="J563">
        <v>1.160315</v>
      </c>
      <c r="K563">
        <v>-2.675944E-3</v>
      </c>
      <c r="L563">
        <v>5.7688795500000001E-2</v>
      </c>
      <c r="M563">
        <v>0.95299999999999996</v>
      </c>
      <c r="N563">
        <v>0</v>
      </c>
    </row>
    <row r="564" spans="1:14" x14ac:dyDescent="0.25">
      <c r="A564" t="s">
        <v>143</v>
      </c>
      <c r="B564" t="s">
        <v>163</v>
      </c>
      <c r="C564" t="s">
        <v>14</v>
      </c>
      <c r="D564">
        <v>1</v>
      </c>
      <c r="E564">
        <v>1000</v>
      </c>
      <c r="F564">
        <v>8.6966999999999999</v>
      </c>
      <c r="G564">
        <v>8.7347760000000001</v>
      </c>
      <c r="H564">
        <v>3.8077076699999997E-2</v>
      </c>
      <c r="I564">
        <v>0.63395100000000004</v>
      </c>
      <c r="J564">
        <v>0.63040099999999999</v>
      </c>
      <c r="K564">
        <v>-5.6000240000000003E-3</v>
      </c>
      <c r="L564">
        <v>4.3783368999999999E-3</v>
      </c>
      <c r="M564">
        <v>0.94799999999999995</v>
      </c>
      <c r="N564">
        <v>0</v>
      </c>
    </row>
    <row r="565" spans="1:14" x14ac:dyDescent="0.25">
      <c r="A565" t="s">
        <v>143</v>
      </c>
      <c r="B565" t="s">
        <v>163</v>
      </c>
      <c r="C565" t="s">
        <v>15</v>
      </c>
      <c r="D565">
        <v>1</v>
      </c>
      <c r="E565">
        <v>1000</v>
      </c>
      <c r="F565">
        <v>-1.6103000000000001</v>
      </c>
      <c r="G565">
        <v>-1.3060659999999999</v>
      </c>
      <c r="H565">
        <v>0.30422903579999999</v>
      </c>
      <c r="I565">
        <v>0.72019</v>
      </c>
      <c r="J565">
        <v>0.70829200000000003</v>
      </c>
      <c r="K565">
        <v>-1.6520876E-2</v>
      </c>
      <c r="L565">
        <v>-0.18892756899999999</v>
      </c>
      <c r="M565">
        <v>0.93200000000000005</v>
      </c>
      <c r="N565">
        <v>0</v>
      </c>
    </row>
    <row r="566" spans="1:14" x14ac:dyDescent="0.25">
      <c r="A566" t="s">
        <v>143</v>
      </c>
      <c r="B566" t="s">
        <v>163</v>
      </c>
      <c r="C566" t="s">
        <v>16</v>
      </c>
      <c r="D566">
        <v>1</v>
      </c>
      <c r="E566">
        <v>1000</v>
      </c>
      <c r="F566">
        <v>-7.9151999999999996</v>
      </c>
      <c r="G566">
        <v>-7.7977109999999996</v>
      </c>
      <c r="H566">
        <v>0.1174641669</v>
      </c>
      <c r="I566">
        <v>0.81723999999999997</v>
      </c>
      <c r="J566">
        <v>0.82267500000000005</v>
      </c>
      <c r="K566">
        <v>6.6499172999999996E-3</v>
      </c>
      <c r="L566">
        <v>-1.4840374E-2</v>
      </c>
      <c r="M566">
        <v>0.94799999999999995</v>
      </c>
      <c r="N566">
        <v>0</v>
      </c>
    </row>
    <row r="567" spans="1:14" x14ac:dyDescent="0.25">
      <c r="A567" t="s">
        <v>143</v>
      </c>
      <c r="B567" t="s">
        <v>163</v>
      </c>
      <c r="C567" t="s">
        <v>17</v>
      </c>
      <c r="D567">
        <v>1</v>
      </c>
      <c r="E567">
        <v>1000</v>
      </c>
      <c r="F567">
        <v>5.8681000000000001</v>
      </c>
      <c r="G567">
        <v>5.9070270000000002</v>
      </c>
      <c r="H567">
        <v>3.8888087299999999E-2</v>
      </c>
      <c r="I567">
        <v>5.8436000000000002E-2</v>
      </c>
      <c r="J567">
        <v>6.3544000000000003E-2</v>
      </c>
      <c r="K567">
        <v>8.7423757000000005E-2</v>
      </c>
      <c r="L567">
        <v>6.6269880999999999E-3</v>
      </c>
      <c r="M567">
        <v>0.95</v>
      </c>
      <c r="N567">
        <v>0</v>
      </c>
    </row>
    <row r="568" spans="1:14" x14ac:dyDescent="0.25">
      <c r="A568" t="s">
        <v>143</v>
      </c>
      <c r="B568" t="s">
        <v>163</v>
      </c>
      <c r="C568" t="s">
        <v>18</v>
      </c>
      <c r="D568">
        <v>1</v>
      </c>
      <c r="E568">
        <v>1000</v>
      </c>
      <c r="F568">
        <v>2.8400000000000002E-2</v>
      </c>
      <c r="G568">
        <v>-6.9870000000000002E-3</v>
      </c>
      <c r="H568">
        <v>-3.5403931999999999E-2</v>
      </c>
      <c r="I568">
        <v>4.9764000000000003E-2</v>
      </c>
      <c r="J568">
        <v>5.2823000000000002E-2</v>
      </c>
      <c r="K568">
        <v>6.1469333799999998E-2</v>
      </c>
      <c r="L568">
        <v>-1.2458923740000001</v>
      </c>
      <c r="M568">
        <v>0.95099999999999996</v>
      </c>
      <c r="N568">
        <v>0</v>
      </c>
    </row>
    <row r="569" spans="1:14" x14ac:dyDescent="0.25">
      <c r="A569" t="s">
        <v>143</v>
      </c>
      <c r="B569" t="s">
        <v>168</v>
      </c>
      <c r="C569" t="s">
        <v>12</v>
      </c>
      <c r="D569">
        <v>1</v>
      </c>
      <c r="E569">
        <v>1000</v>
      </c>
      <c r="F569">
        <v>107.0774</v>
      </c>
      <c r="G569">
        <v>106.01638</v>
      </c>
      <c r="H569">
        <v>-1.061028922</v>
      </c>
      <c r="I569">
        <v>2.5662539999999998</v>
      </c>
      <c r="J569">
        <v>2.723001</v>
      </c>
      <c r="K569">
        <v>6.1080156900000002E-2</v>
      </c>
      <c r="L569">
        <v>-9.9089899999999995E-3</v>
      </c>
      <c r="M569">
        <v>0.93400000000000005</v>
      </c>
      <c r="N569">
        <v>0</v>
      </c>
    </row>
    <row r="570" spans="1:14" x14ac:dyDescent="0.25">
      <c r="A570" t="s">
        <v>143</v>
      </c>
      <c r="B570" t="s">
        <v>168</v>
      </c>
      <c r="C570" t="s">
        <v>13</v>
      </c>
      <c r="D570">
        <v>1</v>
      </c>
      <c r="E570">
        <v>1000</v>
      </c>
      <c r="F570">
        <v>-4.7686000000000002</v>
      </c>
      <c r="G570">
        <v>-3.8474900000000001</v>
      </c>
      <c r="H570">
        <v>0.92115178509999995</v>
      </c>
      <c r="I570">
        <v>1.1500790000000001</v>
      </c>
      <c r="J570">
        <v>1.1770719999999999</v>
      </c>
      <c r="K570">
        <v>2.3470366600000001E-2</v>
      </c>
      <c r="L570">
        <v>-0.19316859</v>
      </c>
      <c r="M570">
        <v>0.90900000000000003</v>
      </c>
      <c r="N570">
        <v>0</v>
      </c>
    </row>
    <row r="571" spans="1:14" x14ac:dyDescent="0.25">
      <c r="A571" t="s">
        <v>143</v>
      </c>
      <c r="B571" t="s">
        <v>168</v>
      </c>
      <c r="C571" t="s">
        <v>14</v>
      </c>
      <c r="D571">
        <v>1</v>
      </c>
      <c r="E571">
        <v>1000</v>
      </c>
      <c r="F571">
        <v>8.6966999999999999</v>
      </c>
      <c r="G571">
        <v>8.5837000000000003</v>
      </c>
      <c r="H571">
        <v>-0.11299868</v>
      </c>
      <c r="I571">
        <v>0.57050900000000004</v>
      </c>
      <c r="J571">
        <v>0.609962</v>
      </c>
      <c r="K571">
        <v>6.9155575900000002E-2</v>
      </c>
      <c r="L571">
        <v>-1.2993284000000001E-2</v>
      </c>
      <c r="M571">
        <v>0.96199999999999997</v>
      </c>
      <c r="N571">
        <v>0</v>
      </c>
    </row>
    <row r="572" spans="1:14" x14ac:dyDescent="0.25">
      <c r="A572" t="s">
        <v>143</v>
      </c>
      <c r="B572" t="s">
        <v>168</v>
      </c>
      <c r="C572" t="s">
        <v>15</v>
      </c>
      <c r="D572">
        <v>1</v>
      </c>
      <c r="E572">
        <v>1000</v>
      </c>
      <c r="F572">
        <v>-1.6103000000000001</v>
      </c>
      <c r="G572">
        <v>-1.7848349999999999</v>
      </c>
      <c r="H572">
        <v>-0.174540101</v>
      </c>
      <c r="I572">
        <v>0.73988699999999996</v>
      </c>
      <c r="J572">
        <v>0.71232499999999999</v>
      </c>
      <c r="K572">
        <v>-3.7252591000000002E-2</v>
      </c>
      <c r="L572">
        <v>0.1083901697</v>
      </c>
      <c r="M572">
        <v>0.93400000000000005</v>
      </c>
      <c r="N572">
        <v>0</v>
      </c>
    </row>
    <row r="573" spans="1:14" x14ac:dyDescent="0.25">
      <c r="A573" t="s">
        <v>143</v>
      </c>
      <c r="B573" t="s">
        <v>168</v>
      </c>
      <c r="C573" t="s">
        <v>16</v>
      </c>
      <c r="D573">
        <v>1</v>
      </c>
      <c r="E573">
        <v>1000</v>
      </c>
      <c r="F573">
        <v>-7.9151999999999996</v>
      </c>
      <c r="G573">
        <v>-8.1382569999999994</v>
      </c>
      <c r="H573">
        <v>-0.22308164699999999</v>
      </c>
      <c r="I573">
        <v>0.79084900000000002</v>
      </c>
      <c r="J573">
        <v>0.80240199999999995</v>
      </c>
      <c r="K573">
        <v>1.46075367E-2</v>
      </c>
      <c r="L573">
        <v>2.8184042499999999E-2</v>
      </c>
      <c r="M573">
        <v>0.94699999999999995</v>
      </c>
      <c r="N573">
        <v>0</v>
      </c>
    </row>
    <row r="574" spans="1:14" x14ac:dyDescent="0.25">
      <c r="A574" t="s">
        <v>143</v>
      </c>
      <c r="B574" t="s">
        <v>168</v>
      </c>
      <c r="C574" t="s">
        <v>17</v>
      </c>
      <c r="D574">
        <v>1</v>
      </c>
      <c r="E574">
        <v>1000</v>
      </c>
      <c r="F574">
        <v>5.8681000000000001</v>
      </c>
      <c r="G574">
        <v>5.8696099999999998</v>
      </c>
      <c r="H574">
        <v>1.4714063999999999E-3</v>
      </c>
      <c r="I574">
        <v>5.8486999999999997E-2</v>
      </c>
      <c r="J574">
        <v>6.2515000000000001E-2</v>
      </c>
      <c r="K574">
        <v>6.8879002600000003E-2</v>
      </c>
      <c r="L574">
        <v>2.5074500000000003E-4</v>
      </c>
      <c r="M574">
        <v>0.96799999999999997</v>
      </c>
      <c r="N574">
        <v>0</v>
      </c>
    </row>
    <row r="575" spans="1:14" x14ac:dyDescent="0.25">
      <c r="A575" t="s">
        <v>143</v>
      </c>
      <c r="B575" t="s">
        <v>168</v>
      </c>
      <c r="C575" t="s">
        <v>18</v>
      </c>
      <c r="D575">
        <v>1</v>
      </c>
      <c r="E575">
        <v>1000</v>
      </c>
      <c r="F575">
        <v>2.8400000000000002E-2</v>
      </c>
      <c r="G575">
        <v>4.2810000000000001E-2</v>
      </c>
      <c r="H575">
        <v>1.43933016E-2</v>
      </c>
      <c r="I575">
        <v>4.9221000000000001E-2</v>
      </c>
      <c r="J575">
        <v>5.0858E-2</v>
      </c>
      <c r="K575">
        <v>3.32770119E-2</v>
      </c>
      <c r="L575">
        <v>0.5065116744</v>
      </c>
      <c r="M575">
        <v>0.95899999999999996</v>
      </c>
      <c r="N575">
        <v>0</v>
      </c>
    </row>
    <row r="576" spans="1:14" x14ac:dyDescent="0.25">
      <c r="A576" t="s">
        <v>143</v>
      </c>
      <c r="B576" t="s">
        <v>351</v>
      </c>
      <c r="C576" t="s">
        <v>12</v>
      </c>
      <c r="D576">
        <v>1</v>
      </c>
      <c r="E576">
        <v>1000</v>
      </c>
      <c r="F576">
        <v>107.0774</v>
      </c>
      <c r="G576">
        <v>106.85706399999999</v>
      </c>
      <c r="H576">
        <v>-0.22034485000000001</v>
      </c>
      <c r="I576">
        <v>2.2039010000000001</v>
      </c>
      <c r="J576">
        <v>2.319591</v>
      </c>
      <c r="K576">
        <v>5.2493527900000003E-2</v>
      </c>
      <c r="L576">
        <v>-2.0578089999999999E-3</v>
      </c>
      <c r="M576">
        <v>0.95699999999999996</v>
      </c>
      <c r="N576">
        <v>0</v>
      </c>
    </row>
    <row r="577" spans="1:14" x14ac:dyDescent="0.25">
      <c r="A577" t="s">
        <v>143</v>
      </c>
      <c r="B577" t="s">
        <v>351</v>
      </c>
      <c r="C577" t="s">
        <v>13</v>
      </c>
      <c r="D577">
        <v>1</v>
      </c>
      <c r="E577">
        <v>1000</v>
      </c>
      <c r="F577">
        <v>-4.7686000000000002</v>
      </c>
      <c r="G577">
        <v>-4.8473030000000001</v>
      </c>
      <c r="H577">
        <v>-7.8661802000000003E-2</v>
      </c>
      <c r="I577">
        <v>0.878085</v>
      </c>
      <c r="J577">
        <v>0.89137699999999997</v>
      </c>
      <c r="K577">
        <v>1.51371087E-2</v>
      </c>
      <c r="L577">
        <v>1.6495641200000001E-2</v>
      </c>
      <c r="M577">
        <v>0.95</v>
      </c>
      <c r="N577">
        <v>0</v>
      </c>
    </row>
    <row r="578" spans="1:14" x14ac:dyDescent="0.25">
      <c r="A578" t="s">
        <v>143</v>
      </c>
      <c r="B578" t="s">
        <v>351</v>
      </c>
      <c r="C578" t="s">
        <v>14</v>
      </c>
      <c r="D578">
        <v>1</v>
      </c>
      <c r="E578">
        <v>1000</v>
      </c>
      <c r="F578">
        <v>8.6966999999999999</v>
      </c>
      <c r="G578">
        <v>8.7105530000000009</v>
      </c>
      <c r="H578">
        <v>1.38545952E-2</v>
      </c>
      <c r="I578">
        <v>0.517065</v>
      </c>
      <c r="J578">
        <v>0.52274900000000002</v>
      </c>
      <c r="K578">
        <v>1.0991802700000001E-2</v>
      </c>
      <c r="L578">
        <v>1.5930867000000001E-3</v>
      </c>
      <c r="M578">
        <v>0.95399999999999996</v>
      </c>
      <c r="N578">
        <v>0</v>
      </c>
    </row>
    <row r="579" spans="1:14" x14ac:dyDescent="0.25">
      <c r="A579" t="s">
        <v>143</v>
      </c>
      <c r="B579" t="s">
        <v>351</v>
      </c>
      <c r="C579" t="s">
        <v>15</v>
      </c>
      <c r="D579">
        <v>1</v>
      </c>
      <c r="E579">
        <v>1000</v>
      </c>
      <c r="F579">
        <v>-1.6103000000000001</v>
      </c>
      <c r="G579">
        <v>-1.6308609999999999</v>
      </c>
      <c r="H579">
        <v>-2.0566682999999999E-2</v>
      </c>
      <c r="I579">
        <v>0.59677100000000005</v>
      </c>
      <c r="J579">
        <v>0.61003799999999997</v>
      </c>
      <c r="K579">
        <v>2.2231150500000001E-2</v>
      </c>
      <c r="L579">
        <v>1.2772000400000001E-2</v>
      </c>
      <c r="M579">
        <v>0.95399999999999996</v>
      </c>
      <c r="N579">
        <v>0</v>
      </c>
    </row>
    <row r="580" spans="1:14" x14ac:dyDescent="0.25">
      <c r="A580" t="s">
        <v>143</v>
      </c>
      <c r="B580" t="s">
        <v>351</v>
      </c>
      <c r="C580" t="s">
        <v>16</v>
      </c>
      <c r="D580">
        <v>1</v>
      </c>
      <c r="E580">
        <v>1000</v>
      </c>
      <c r="F580">
        <v>-7.9151999999999996</v>
      </c>
      <c r="G580">
        <v>-7.9424720000000004</v>
      </c>
      <c r="H580">
        <v>-2.7296674999999999E-2</v>
      </c>
      <c r="I580">
        <v>0.63739299999999999</v>
      </c>
      <c r="J580">
        <v>0.65396900000000002</v>
      </c>
      <c r="K580">
        <v>2.60053835E-2</v>
      </c>
      <c r="L580">
        <v>3.4486504999999999E-3</v>
      </c>
      <c r="M580">
        <v>0.95499999999999996</v>
      </c>
      <c r="N580">
        <v>0</v>
      </c>
    </row>
    <row r="581" spans="1:14" x14ac:dyDescent="0.25">
      <c r="A581" t="s">
        <v>143</v>
      </c>
      <c r="B581" t="s">
        <v>351</v>
      </c>
      <c r="C581" t="s">
        <v>17</v>
      </c>
      <c r="D581">
        <v>1</v>
      </c>
      <c r="E581">
        <v>1000</v>
      </c>
      <c r="F581">
        <v>5.8681000000000001</v>
      </c>
      <c r="G581">
        <v>5.8579929999999996</v>
      </c>
      <c r="H581">
        <v>-1.0145903E-2</v>
      </c>
      <c r="I581">
        <v>4.0548000000000001E-2</v>
      </c>
      <c r="J581">
        <v>4.4018000000000002E-2</v>
      </c>
      <c r="K581">
        <v>8.5591324900000001E-2</v>
      </c>
      <c r="L581">
        <v>-1.7289810000000001E-3</v>
      </c>
      <c r="M581">
        <v>0.96599999999999997</v>
      </c>
      <c r="N581">
        <v>0</v>
      </c>
    </row>
    <row r="582" spans="1:14" x14ac:dyDescent="0.25">
      <c r="A582" t="s">
        <v>143</v>
      </c>
      <c r="B582" t="s">
        <v>351</v>
      </c>
      <c r="C582" t="s">
        <v>18</v>
      </c>
      <c r="D582">
        <v>1</v>
      </c>
      <c r="E582">
        <v>1000</v>
      </c>
      <c r="F582">
        <v>2.8400000000000002E-2</v>
      </c>
      <c r="G582">
        <v>3.9914999999999999E-2</v>
      </c>
      <c r="H582">
        <v>1.1498136500000001E-2</v>
      </c>
      <c r="I582">
        <v>3.1357000000000003E-2</v>
      </c>
      <c r="J582">
        <v>3.3947999999999999E-2</v>
      </c>
      <c r="K582">
        <v>8.2627243899999994E-2</v>
      </c>
      <c r="L582">
        <v>0.40462852500000002</v>
      </c>
      <c r="M582">
        <v>0.95899999999999996</v>
      </c>
      <c r="N582">
        <v>0</v>
      </c>
    </row>
    <row r="583" spans="1:14" x14ac:dyDescent="0.25">
      <c r="A583" t="s">
        <v>143</v>
      </c>
      <c r="B583" t="s">
        <v>352</v>
      </c>
      <c r="C583" t="s">
        <v>12</v>
      </c>
      <c r="D583">
        <v>1</v>
      </c>
      <c r="E583">
        <v>1000</v>
      </c>
      <c r="F583">
        <v>107.0774</v>
      </c>
      <c r="G583">
        <v>106.927712</v>
      </c>
      <c r="H583">
        <v>-0.149696985</v>
      </c>
      <c r="I583">
        <v>2.2742070000000001</v>
      </c>
      <c r="J583">
        <v>2.3754740000000001</v>
      </c>
      <c r="K583">
        <v>4.4528736899999997E-2</v>
      </c>
      <c r="L583">
        <v>-1.3980259999999999E-3</v>
      </c>
      <c r="M583">
        <v>0.95399999999999996</v>
      </c>
      <c r="N583">
        <v>0</v>
      </c>
    </row>
    <row r="584" spans="1:14" x14ac:dyDescent="0.25">
      <c r="A584" t="s">
        <v>143</v>
      </c>
      <c r="B584" t="s">
        <v>352</v>
      </c>
      <c r="C584" t="s">
        <v>13</v>
      </c>
      <c r="D584">
        <v>1</v>
      </c>
      <c r="E584">
        <v>1000</v>
      </c>
      <c r="F584">
        <v>-4.7686000000000002</v>
      </c>
      <c r="G584">
        <v>-4.8111649999999999</v>
      </c>
      <c r="H584">
        <v>-4.2523441000000002E-2</v>
      </c>
      <c r="I584">
        <v>0.88565199999999999</v>
      </c>
      <c r="J584">
        <v>0.91260399999999997</v>
      </c>
      <c r="K584">
        <v>3.04318796E-2</v>
      </c>
      <c r="L584">
        <v>8.9173068999999997E-3</v>
      </c>
      <c r="M584">
        <v>0.95899999999999996</v>
      </c>
      <c r="N584">
        <v>0</v>
      </c>
    </row>
    <row r="585" spans="1:14" x14ac:dyDescent="0.25">
      <c r="A585" t="s">
        <v>143</v>
      </c>
      <c r="B585" t="s">
        <v>352</v>
      </c>
      <c r="C585" t="s">
        <v>14</v>
      </c>
      <c r="D585">
        <v>1</v>
      </c>
      <c r="E585">
        <v>1000</v>
      </c>
      <c r="F585">
        <v>8.6966999999999999</v>
      </c>
      <c r="G585">
        <v>8.7034649999999996</v>
      </c>
      <c r="H585">
        <v>6.7664077999999997E-3</v>
      </c>
      <c r="I585">
        <v>0.50508200000000003</v>
      </c>
      <c r="J585">
        <v>0.53189900000000001</v>
      </c>
      <c r="K585">
        <v>5.30946053E-2</v>
      </c>
      <c r="L585">
        <v>7.7804329999999996E-4</v>
      </c>
      <c r="M585">
        <v>0.96399999999999997</v>
      </c>
      <c r="N585">
        <v>0</v>
      </c>
    </row>
    <row r="586" spans="1:14" x14ac:dyDescent="0.25">
      <c r="A586" t="s">
        <v>143</v>
      </c>
      <c r="B586" t="s">
        <v>352</v>
      </c>
      <c r="C586" t="s">
        <v>15</v>
      </c>
      <c r="D586">
        <v>1</v>
      </c>
      <c r="E586">
        <v>1000</v>
      </c>
      <c r="F586">
        <v>-1.6103000000000001</v>
      </c>
      <c r="G586">
        <v>-1.6623289999999999</v>
      </c>
      <c r="H586">
        <v>-5.2034295000000001E-2</v>
      </c>
      <c r="I586">
        <v>0.60783299999999996</v>
      </c>
      <c r="J586">
        <v>0.615541</v>
      </c>
      <c r="K586">
        <v>1.2681066100000001E-2</v>
      </c>
      <c r="L586">
        <v>3.2313526100000003E-2</v>
      </c>
      <c r="M586">
        <v>0.95799999999999996</v>
      </c>
      <c r="N586">
        <v>0</v>
      </c>
    </row>
    <row r="587" spans="1:14" x14ac:dyDescent="0.25">
      <c r="A587" t="s">
        <v>143</v>
      </c>
      <c r="B587" t="s">
        <v>352</v>
      </c>
      <c r="C587" t="s">
        <v>16</v>
      </c>
      <c r="D587">
        <v>1</v>
      </c>
      <c r="E587">
        <v>1000</v>
      </c>
      <c r="F587">
        <v>-7.9151999999999996</v>
      </c>
      <c r="G587">
        <v>-7.9501799999999996</v>
      </c>
      <c r="H587">
        <v>-3.5004090000000002E-2</v>
      </c>
      <c r="I587">
        <v>0.64644500000000005</v>
      </c>
      <c r="J587">
        <v>0.66534400000000005</v>
      </c>
      <c r="K587">
        <v>2.9236404399999999E-2</v>
      </c>
      <c r="L587">
        <v>4.4224021999999998E-3</v>
      </c>
      <c r="M587">
        <v>0.95199999999999996</v>
      </c>
      <c r="N587">
        <v>0</v>
      </c>
    </row>
    <row r="588" spans="1:14" x14ac:dyDescent="0.25">
      <c r="A588" t="s">
        <v>143</v>
      </c>
      <c r="B588" t="s">
        <v>352</v>
      </c>
      <c r="C588" t="s">
        <v>17</v>
      </c>
      <c r="D588">
        <v>1</v>
      </c>
      <c r="E588">
        <v>1000</v>
      </c>
      <c r="F588">
        <v>5.8681000000000001</v>
      </c>
      <c r="G588">
        <v>5.8560319999999999</v>
      </c>
      <c r="H588">
        <v>-1.2107427E-2</v>
      </c>
      <c r="I588">
        <v>4.1678E-2</v>
      </c>
      <c r="J588">
        <v>4.6739000000000003E-2</v>
      </c>
      <c r="K588">
        <v>0.1214288992</v>
      </c>
      <c r="L588">
        <v>-2.0632480000000002E-3</v>
      </c>
      <c r="M588">
        <v>0.96799999999999997</v>
      </c>
      <c r="N588">
        <v>0</v>
      </c>
    </row>
    <row r="589" spans="1:14" x14ac:dyDescent="0.25">
      <c r="A589" t="s">
        <v>143</v>
      </c>
      <c r="B589" t="s">
        <v>352</v>
      </c>
      <c r="C589" t="s">
        <v>18</v>
      </c>
      <c r="D589">
        <v>1</v>
      </c>
      <c r="E589">
        <v>1000</v>
      </c>
      <c r="F589">
        <v>2.8400000000000002E-2</v>
      </c>
      <c r="G589">
        <v>4.0357999999999998E-2</v>
      </c>
      <c r="H589">
        <v>1.19410527E-2</v>
      </c>
      <c r="I589">
        <v>3.4847999999999997E-2</v>
      </c>
      <c r="J589">
        <v>3.6942999999999997E-2</v>
      </c>
      <c r="K589">
        <v>6.0100109700000001E-2</v>
      </c>
      <c r="L589">
        <v>0.42021509699999998</v>
      </c>
      <c r="M589">
        <v>0.96799999999999997</v>
      </c>
      <c r="N589">
        <v>0</v>
      </c>
    </row>
    <row r="590" spans="1:14" x14ac:dyDescent="0.25">
      <c r="A590" t="s">
        <v>143</v>
      </c>
      <c r="B590" t="s">
        <v>353</v>
      </c>
      <c r="C590" t="s">
        <v>12</v>
      </c>
      <c r="D590">
        <v>1</v>
      </c>
      <c r="E590">
        <v>1000</v>
      </c>
      <c r="F590">
        <v>3.1354000000000002</v>
      </c>
      <c r="G590">
        <v>3.1049980000000001</v>
      </c>
      <c r="H590">
        <v>-3.0393349E-2</v>
      </c>
      <c r="I590">
        <v>0.33857700000000002</v>
      </c>
      <c r="J590">
        <v>0.33873700000000001</v>
      </c>
      <c r="K590">
        <v>4.7439980000000002E-4</v>
      </c>
      <c r="L590">
        <v>-9.6936390000000004E-3</v>
      </c>
      <c r="M590">
        <v>0.94699999999999995</v>
      </c>
      <c r="N590">
        <v>0</v>
      </c>
    </row>
    <row r="591" spans="1:14" x14ac:dyDescent="0.25">
      <c r="A591" t="s">
        <v>143</v>
      </c>
      <c r="B591" t="s">
        <v>353</v>
      </c>
      <c r="C591" t="s">
        <v>13</v>
      </c>
      <c r="D591">
        <v>1</v>
      </c>
      <c r="E591">
        <v>1000</v>
      </c>
      <c r="F591">
        <v>-0.44119999999999998</v>
      </c>
      <c r="G591">
        <v>-0.64220100000000002</v>
      </c>
      <c r="H591">
        <v>-0.20099444399999999</v>
      </c>
      <c r="I591">
        <v>0.13172900000000001</v>
      </c>
      <c r="J591">
        <v>0.13362299999999999</v>
      </c>
      <c r="K591">
        <v>1.4374868799999999E-2</v>
      </c>
      <c r="L591">
        <v>0.45555662860000001</v>
      </c>
      <c r="M591">
        <v>0.70699999999999996</v>
      </c>
      <c r="N591">
        <v>0</v>
      </c>
    </row>
    <row r="592" spans="1:14" x14ac:dyDescent="0.25">
      <c r="A592" t="s">
        <v>143</v>
      </c>
      <c r="B592" t="s">
        <v>353</v>
      </c>
      <c r="C592" t="s">
        <v>14</v>
      </c>
      <c r="D592">
        <v>1</v>
      </c>
      <c r="E592">
        <v>1000</v>
      </c>
      <c r="F592">
        <v>-7.3000000000000001E-3</v>
      </c>
      <c r="G592">
        <v>1.1181E-2</v>
      </c>
      <c r="H592">
        <v>1.84945727E-2</v>
      </c>
      <c r="I592">
        <v>6.2618999999999994E-2</v>
      </c>
      <c r="J592">
        <v>6.4349000000000003E-2</v>
      </c>
      <c r="K592">
        <v>2.7617144499999999E-2</v>
      </c>
      <c r="L592">
        <v>-2.5286643689999999</v>
      </c>
      <c r="M592">
        <v>0.95299999999999996</v>
      </c>
      <c r="N592">
        <v>0</v>
      </c>
    </row>
    <row r="593" spans="1:14" x14ac:dyDescent="0.25">
      <c r="A593" t="s">
        <v>143</v>
      </c>
      <c r="B593" t="s">
        <v>353</v>
      </c>
      <c r="C593" t="s">
        <v>15</v>
      </c>
      <c r="D593">
        <v>1</v>
      </c>
      <c r="E593">
        <v>1000</v>
      </c>
      <c r="F593">
        <v>-0.45419999999999999</v>
      </c>
      <c r="G593">
        <v>-0.34313199999999999</v>
      </c>
      <c r="H593">
        <v>0.1110561117</v>
      </c>
      <c r="I593">
        <v>6.8191000000000002E-2</v>
      </c>
      <c r="J593">
        <v>6.6740999999999995E-2</v>
      </c>
      <c r="K593">
        <v>-2.1260662E-2</v>
      </c>
      <c r="L593">
        <v>-0.244515704</v>
      </c>
      <c r="M593">
        <v>0.60699999999999998</v>
      </c>
      <c r="N593">
        <v>0</v>
      </c>
    </row>
    <row r="594" spans="1:14" x14ac:dyDescent="0.25">
      <c r="A594" t="s">
        <v>143</v>
      </c>
      <c r="B594" t="s">
        <v>353</v>
      </c>
      <c r="C594" t="s">
        <v>16</v>
      </c>
      <c r="D594">
        <v>1</v>
      </c>
      <c r="E594">
        <v>1000</v>
      </c>
      <c r="F594">
        <v>-8.2500000000000004E-2</v>
      </c>
      <c r="G594">
        <v>-3.6193000000000003E-2</v>
      </c>
      <c r="H594">
        <v>4.6348952399999997E-2</v>
      </c>
      <c r="I594">
        <v>8.1906999999999994E-2</v>
      </c>
      <c r="J594">
        <v>8.3443000000000003E-2</v>
      </c>
      <c r="K594">
        <v>1.8752912100000001E-2</v>
      </c>
      <c r="L594">
        <v>-0.56151680900000001</v>
      </c>
      <c r="M594">
        <v>0.91900000000000004</v>
      </c>
      <c r="N594">
        <v>0</v>
      </c>
    </row>
    <row r="595" spans="1:14" x14ac:dyDescent="0.25">
      <c r="A595" t="s">
        <v>143</v>
      </c>
      <c r="B595" t="s">
        <v>353</v>
      </c>
      <c r="C595" t="s">
        <v>17</v>
      </c>
      <c r="D595">
        <v>1</v>
      </c>
      <c r="E595">
        <v>1000</v>
      </c>
      <c r="F595">
        <v>-0.12590000000000001</v>
      </c>
      <c r="G595">
        <v>-0.118815</v>
      </c>
      <c r="H595">
        <v>7.1309440999999998E-3</v>
      </c>
      <c r="I595">
        <v>9.4830000000000001E-3</v>
      </c>
      <c r="J595">
        <v>9.672E-3</v>
      </c>
      <c r="K595">
        <v>1.9844222200000001E-2</v>
      </c>
      <c r="L595">
        <v>-5.6618930999999997E-2</v>
      </c>
      <c r="M595">
        <v>0.86099999999999999</v>
      </c>
      <c r="N595">
        <v>0</v>
      </c>
    </row>
    <row r="596" spans="1:14" x14ac:dyDescent="0.25">
      <c r="A596" t="s">
        <v>143</v>
      </c>
      <c r="B596" t="s">
        <v>353</v>
      </c>
      <c r="C596" t="s">
        <v>18</v>
      </c>
      <c r="D596">
        <v>1</v>
      </c>
      <c r="E596">
        <v>1000</v>
      </c>
      <c r="F596">
        <v>-6.9999999999999999E-4</v>
      </c>
      <c r="G596">
        <v>-9.1990000000000006E-3</v>
      </c>
      <c r="H596">
        <v>-8.4913739999999995E-3</v>
      </c>
      <c r="I596">
        <v>6.8789999999999997E-3</v>
      </c>
      <c r="J596">
        <v>7.1199999999999996E-3</v>
      </c>
      <c r="K596">
        <v>3.5074511500000002E-2</v>
      </c>
      <c r="L596">
        <v>11.998354616</v>
      </c>
      <c r="M596">
        <v>0.755</v>
      </c>
      <c r="N596">
        <v>0</v>
      </c>
    </row>
    <row r="597" spans="1:14" x14ac:dyDescent="0.25">
      <c r="A597" t="s">
        <v>143</v>
      </c>
      <c r="B597" t="s">
        <v>354</v>
      </c>
      <c r="C597" t="s">
        <v>12</v>
      </c>
      <c r="D597">
        <v>1</v>
      </c>
      <c r="E597">
        <v>1000</v>
      </c>
      <c r="F597">
        <v>3.1354000000000002</v>
      </c>
      <c r="G597">
        <v>2.8736700000000002</v>
      </c>
      <c r="H597">
        <v>-0.26172057100000001</v>
      </c>
      <c r="I597">
        <v>0.34758600000000001</v>
      </c>
      <c r="J597">
        <v>0.37173099999999998</v>
      </c>
      <c r="K597">
        <v>6.9465210999999999E-2</v>
      </c>
      <c r="L597">
        <v>-8.3473024000000007E-2</v>
      </c>
      <c r="M597">
        <v>0.91600000000000004</v>
      </c>
      <c r="N597">
        <v>0</v>
      </c>
    </row>
    <row r="598" spans="1:14" x14ac:dyDescent="0.25">
      <c r="A598" t="s">
        <v>143</v>
      </c>
      <c r="B598" t="s">
        <v>354</v>
      </c>
      <c r="C598" t="s">
        <v>13</v>
      </c>
      <c r="D598">
        <v>1</v>
      </c>
      <c r="E598">
        <v>1000</v>
      </c>
      <c r="F598">
        <v>-0.44119999999999998</v>
      </c>
      <c r="G598">
        <v>-0.194663</v>
      </c>
      <c r="H598">
        <v>0.24654280570000001</v>
      </c>
      <c r="I598">
        <v>0.15612100000000001</v>
      </c>
      <c r="J598">
        <v>0.153195</v>
      </c>
      <c r="K598">
        <v>-1.8741167999999999E-2</v>
      </c>
      <c r="L598">
        <v>-0.558792607</v>
      </c>
      <c r="M598">
        <v>0.63</v>
      </c>
      <c r="N598">
        <v>0</v>
      </c>
    </row>
    <row r="599" spans="1:14" x14ac:dyDescent="0.25">
      <c r="A599" t="s">
        <v>143</v>
      </c>
      <c r="B599" t="s">
        <v>354</v>
      </c>
      <c r="C599" t="s">
        <v>14</v>
      </c>
      <c r="D599">
        <v>1</v>
      </c>
      <c r="E599">
        <v>1000</v>
      </c>
      <c r="F599">
        <v>-7.3000000000000001E-3</v>
      </c>
      <c r="G599">
        <v>-3.8163999999999997E-2</v>
      </c>
      <c r="H599">
        <v>-3.0849788E-2</v>
      </c>
      <c r="I599">
        <v>5.9034999999999997E-2</v>
      </c>
      <c r="J599">
        <v>6.5244999999999997E-2</v>
      </c>
      <c r="K599">
        <v>0.1051899298</v>
      </c>
      <c r="L599">
        <v>4.2179270937000002</v>
      </c>
      <c r="M599">
        <v>0.94399999999999995</v>
      </c>
      <c r="N599">
        <v>0</v>
      </c>
    </row>
    <row r="600" spans="1:14" x14ac:dyDescent="0.25">
      <c r="A600" t="s">
        <v>143</v>
      </c>
      <c r="B600" t="s">
        <v>354</v>
      </c>
      <c r="C600" t="s">
        <v>15</v>
      </c>
      <c r="D600">
        <v>1</v>
      </c>
      <c r="E600">
        <v>1000</v>
      </c>
      <c r="F600">
        <v>-0.45419999999999999</v>
      </c>
      <c r="G600">
        <v>-0.51467700000000005</v>
      </c>
      <c r="H600">
        <v>-6.0489192999999997E-2</v>
      </c>
      <c r="I600">
        <v>7.7213000000000004E-2</v>
      </c>
      <c r="J600">
        <v>7.8614000000000003E-2</v>
      </c>
      <c r="K600">
        <v>1.8145459199999998E-2</v>
      </c>
      <c r="L600">
        <v>0.13318094320000001</v>
      </c>
      <c r="M600">
        <v>0.85099999999999998</v>
      </c>
      <c r="N600">
        <v>0</v>
      </c>
    </row>
    <row r="601" spans="1:14" x14ac:dyDescent="0.25">
      <c r="A601" t="s">
        <v>143</v>
      </c>
      <c r="B601" t="s">
        <v>354</v>
      </c>
      <c r="C601" t="s">
        <v>16</v>
      </c>
      <c r="D601">
        <v>1</v>
      </c>
      <c r="E601">
        <v>1000</v>
      </c>
      <c r="F601">
        <v>-8.2500000000000004E-2</v>
      </c>
      <c r="G601">
        <v>-0.13766999999999999</v>
      </c>
      <c r="H601">
        <v>-5.5127291000000002E-2</v>
      </c>
      <c r="I601">
        <v>8.1059999999999993E-2</v>
      </c>
      <c r="J601">
        <v>8.5757E-2</v>
      </c>
      <c r="K601">
        <v>5.7945449000000003E-2</v>
      </c>
      <c r="L601">
        <v>0.66786623550000002</v>
      </c>
      <c r="M601">
        <v>0.91100000000000003</v>
      </c>
      <c r="N601">
        <v>0</v>
      </c>
    </row>
    <row r="602" spans="1:14" x14ac:dyDescent="0.25">
      <c r="A602" t="s">
        <v>143</v>
      </c>
      <c r="B602" t="s">
        <v>354</v>
      </c>
      <c r="C602" t="s">
        <v>17</v>
      </c>
      <c r="D602">
        <v>1</v>
      </c>
      <c r="E602">
        <v>1000</v>
      </c>
      <c r="F602">
        <v>-0.12590000000000001</v>
      </c>
      <c r="G602">
        <v>-0.13478399999999999</v>
      </c>
      <c r="H602">
        <v>-8.8373779999999999E-3</v>
      </c>
      <c r="I602">
        <v>9.4120000000000002E-3</v>
      </c>
      <c r="J602">
        <v>1.0515999999999999E-2</v>
      </c>
      <c r="K602">
        <v>0.1172010387</v>
      </c>
      <c r="L602">
        <v>7.0167831E-2</v>
      </c>
      <c r="M602">
        <v>0.88600000000000001</v>
      </c>
      <c r="N602">
        <v>0</v>
      </c>
    </row>
    <row r="603" spans="1:14" x14ac:dyDescent="0.25">
      <c r="A603" t="s">
        <v>143</v>
      </c>
      <c r="B603" t="s">
        <v>354</v>
      </c>
      <c r="C603" t="s">
        <v>18</v>
      </c>
      <c r="D603">
        <v>1</v>
      </c>
      <c r="E603">
        <v>1000</v>
      </c>
      <c r="F603">
        <v>-6.9999999999999999E-4</v>
      </c>
      <c r="G603">
        <v>6.8450000000000004E-3</v>
      </c>
      <c r="H603">
        <v>7.5530846E-3</v>
      </c>
      <c r="I603">
        <v>7.3990000000000002E-3</v>
      </c>
      <c r="J603">
        <v>8.2059999999999998E-3</v>
      </c>
      <c r="K603">
        <v>0.1090282148</v>
      </c>
      <c r="L603">
        <v>-10.67254668</v>
      </c>
      <c r="M603">
        <v>0.84499999999999997</v>
      </c>
      <c r="N603">
        <v>0</v>
      </c>
    </row>
    <row r="604" spans="1:14" x14ac:dyDescent="0.25">
      <c r="A604" t="s">
        <v>143</v>
      </c>
      <c r="B604" t="s">
        <v>355</v>
      </c>
      <c r="C604" t="s">
        <v>12</v>
      </c>
      <c r="D604">
        <v>1</v>
      </c>
      <c r="E604">
        <v>1000</v>
      </c>
      <c r="F604">
        <v>3.1354000000000002</v>
      </c>
      <c r="G604">
        <v>3.1467749999999999</v>
      </c>
      <c r="H604">
        <v>1.13844073E-2</v>
      </c>
      <c r="I604">
        <v>0.29235699999999998</v>
      </c>
      <c r="J604">
        <v>0.31809100000000001</v>
      </c>
      <c r="K604">
        <v>8.8021908900000001E-2</v>
      </c>
      <c r="L604">
        <v>3.6309369999999999E-3</v>
      </c>
      <c r="M604">
        <v>0.95499999999999996</v>
      </c>
      <c r="N604">
        <v>0</v>
      </c>
    </row>
    <row r="605" spans="1:14" x14ac:dyDescent="0.25">
      <c r="A605" t="s">
        <v>143</v>
      </c>
      <c r="B605" t="s">
        <v>355</v>
      </c>
      <c r="C605" t="s">
        <v>13</v>
      </c>
      <c r="D605">
        <v>1</v>
      </c>
      <c r="E605">
        <v>1000</v>
      </c>
      <c r="F605">
        <v>-0.44119999999999998</v>
      </c>
      <c r="G605">
        <v>-0.419682</v>
      </c>
      <c r="H605">
        <v>2.1524769199999998E-2</v>
      </c>
      <c r="I605">
        <v>0.11423800000000001</v>
      </c>
      <c r="J605">
        <v>0.120503</v>
      </c>
      <c r="K605">
        <v>5.4838351200000003E-2</v>
      </c>
      <c r="L605">
        <v>-4.8786180999999998E-2</v>
      </c>
      <c r="M605">
        <v>0.94899999999999995</v>
      </c>
      <c r="N605">
        <v>0</v>
      </c>
    </row>
    <row r="606" spans="1:14" x14ac:dyDescent="0.25">
      <c r="A606" t="s">
        <v>143</v>
      </c>
      <c r="B606" t="s">
        <v>355</v>
      </c>
      <c r="C606" t="s">
        <v>14</v>
      </c>
      <c r="D606">
        <v>1</v>
      </c>
      <c r="E606">
        <v>1000</v>
      </c>
      <c r="F606">
        <v>-7.3000000000000001E-3</v>
      </c>
      <c r="G606">
        <v>-1.9443999999999999E-2</v>
      </c>
      <c r="H606">
        <v>-1.2129768000000001E-2</v>
      </c>
      <c r="I606">
        <v>5.7946999999999999E-2</v>
      </c>
      <c r="J606">
        <v>6.1809000000000003E-2</v>
      </c>
      <c r="K606">
        <v>6.6636597699999994E-2</v>
      </c>
      <c r="L606">
        <v>1.6584386015000001</v>
      </c>
      <c r="M606">
        <v>0.95899999999999996</v>
      </c>
      <c r="N606">
        <v>0</v>
      </c>
    </row>
    <row r="607" spans="1:14" x14ac:dyDescent="0.25">
      <c r="A607" t="s">
        <v>143</v>
      </c>
      <c r="B607" t="s">
        <v>355</v>
      </c>
      <c r="C607" t="s">
        <v>15</v>
      </c>
      <c r="D607">
        <v>1</v>
      </c>
      <c r="E607">
        <v>1000</v>
      </c>
      <c r="F607">
        <v>-0.45419999999999999</v>
      </c>
      <c r="G607">
        <v>-0.48923899999999998</v>
      </c>
      <c r="H607">
        <v>-3.5050973999999999E-2</v>
      </c>
      <c r="I607">
        <v>9.1696E-2</v>
      </c>
      <c r="J607">
        <v>8.9755000000000001E-2</v>
      </c>
      <c r="K607">
        <v>-2.1163898E-2</v>
      </c>
      <c r="L607">
        <v>7.7172822500000002E-2</v>
      </c>
      <c r="M607">
        <v>0.85799999999999998</v>
      </c>
      <c r="N607">
        <v>0</v>
      </c>
    </row>
    <row r="608" spans="1:14" x14ac:dyDescent="0.25">
      <c r="A608" t="s">
        <v>143</v>
      </c>
      <c r="B608" t="s">
        <v>355</v>
      </c>
      <c r="C608" t="s">
        <v>16</v>
      </c>
      <c r="D608">
        <v>1</v>
      </c>
      <c r="E608">
        <v>1000</v>
      </c>
      <c r="F608">
        <v>-8.2500000000000004E-2</v>
      </c>
      <c r="G608">
        <v>-9.1289999999999996E-2</v>
      </c>
      <c r="H608">
        <v>-8.7480400000000003E-3</v>
      </c>
      <c r="I608">
        <v>7.1066000000000004E-2</v>
      </c>
      <c r="J608">
        <v>7.6525999999999997E-2</v>
      </c>
      <c r="K608">
        <v>7.6832439099999997E-2</v>
      </c>
      <c r="L608">
        <v>0.1059823634</v>
      </c>
      <c r="M608">
        <v>0.96899999999999997</v>
      </c>
      <c r="N608">
        <v>0</v>
      </c>
    </row>
    <row r="609" spans="1:14" x14ac:dyDescent="0.25">
      <c r="A609" t="s">
        <v>143</v>
      </c>
      <c r="B609" t="s">
        <v>355</v>
      </c>
      <c r="C609" t="s">
        <v>17</v>
      </c>
      <c r="D609">
        <v>1</v>
      </c>
      <c r="E609">
        <v>1000</v>
      </c>
      <c r="F609">
        <v>-0.12590000000000001</v>
      </c>
      <c r="G609">
        <v>-0.130326</v>
      </c>
      <c r="H609">
        <v>-4.3794200000000002E-3</v>
      </c>
      <c r="I609">
        <v>8.4939999999999998E-3</v>
      </c>
      <c r="J609">
        <v>8.6709999999999999E-3</v>
      </c>
      <c r="K609">
        <v>2.0858743799999999E-2</v>
      </c>
      <c r="L609">
        <v>3.4772125799999998E-2</v>
      </c>
      <c r="M609">
        <v>0.91800000000000004</v>
      </c>
      <c r="N609">
        <v>0</v>
      </c>
    </row>
    <row r="610" spans="1:14" x14ac:dyDescent="0.25">
      <c r="A610" t="s">
        <v>143</v>
      </c>
      <c r="B610" t="s">
        <v>355</v>
      </c>
      <c r="C610" t="s">
        <v>18</v>
      </c>
      <c r="D610">
        <v>1</v>
      </c>
      <c r="E610">
        <v>1000</v>
      </c>
      <c r="F610">
        <v>-6.9999999999999999E-4</v>
      </c>
      <c r="G610">
        <v>2.8170000000000001E-3</v>
      </c>
      <c r="H610">
        <v>3.5245578E-3</v>
      </c>
      <c r="I610">
        <v>6.3239999999999998E-3</v>
      </c>
      <c r="J610">
        <v>6.535E-3</v>
      </c>
      <c r="K610">
        <v>3.33815025E-2</v>
      </c>
      <c r="L610">
        <v>-4.9802180079999996</v>
      </c>
      <c r="M610">
        <v>0.91</v>
      </c>
      <c r="N610">
        <v>0</v>
      </c>
    </row>
    <row r="611" spans="1:14" x14ac:dyDescent="0.25">
      <c r="A611" t="s">
        <v>143</v>
      </c>
      <c r="B611" t="s">
        <v>356</v>
      </c>
      <c r="C611" t="s">
        <v>12</v>
      </c>
      <c r="D611">
        <v>1</v>
      </c>
      <c r="E611">
        <v>1000</v>
      </c>
      <c r="F611">
        <v>3.1354000000000002</v>
      </c>
      <c r="G611">
        <v>3.1804009999999998</v>
      </c>
      <c r="H611">
        <v>4.5009869700000003E-2</v>
      </c>
      <c r="I611">
        <v>0.29186499999999999</v>
      </c>
      <c r="J611">
        <v>0.31544899999999998</v>
      </c>
      <c r="K611">
        <v>8.0803518500000004E-2</v>
      </c>
      <c r="L611">
        <v>1.4355424699999999E-2</v>
      </c>
      <c r="M611">
        <v>0.95399999999999996</v>
      </c>
      <c r="N611">
        <v>0</v>
      </c>
    </row>
    <row r="612" spans="1:14" x14ac:dyDescent="0.25">
      <c r="A612" t="s">
        <v>143</v>
      </c>
      <c r="B612" t="s">
        <v>356</v>
      </c>
      <c r="C612" t="s">
        <v>13</v>
      </c>
      <c r="D612">
        <v>1</v>
      </c>
      <c r="E612">
        <v>1000</v>
      </c>
      <c r="F612">
        <v>-0.44119999999999998</v>
      </c>
      <c r="G612">
        <v>-0.40428399999999998</v>
      </c>
      <c r="H612">
        <v>3.6922336600000001E-2</v>
      </c>
      <c r="I612">
        <v>0.114116</v>
      </c>
      <c r="J612">
        <v>0.12066300000000001</v>
      </c>
      <c r="K612">
        <v>5.7369716799999998E-2</v>
      </c>
      <c r="L612">
        <v>-8.3684975999999994E-2</v>
      </c>
      <c r="M612">
        <v>0.93200000000000005</v>
      </c>
      <c r="N612">
        <v>0</v>
      </c>
    </row>
    <row r="613" spans="1:14" x14ac:dyDescent="0.25">
      <c r="A613" t="s">
        <v>143</v>
      </c>
      <c r="B613" t="s">
        <v>356</v>
      </c>
      <c r="C613" t="s">
        <v>14</v>
      </c>
      <c r="D613">
        <v>1</v>
      </c>
      <c r="E613">
        <v>1000</v>
      </c>
      <c r="F613">
        <v>-7.3000000000000001E-3</v>
      </c>
      <c r="G613">
        <v>-2.1843999999999999E-2</v>
      </c>
      <c r="H613">
        <v>-1.4530312E-2</v>
      </c>
      <c r="I613">
        <v>5.8284000000000002E-2</v>
      </c>
      <c r="J613">
        <v>6.2322000000000002E-2</v>
      </c>
      <c r="K613">
        <v>6.92686676E-2</v>
      </c>
      <c r="L613">
        <v>1.9866521749999999</v>
      </c>
      <c r="M613">
        <v>0.95399999999999996</v>
      </c>
      <c r="N613">
        <v>0</v>
      </c>
    </row>
    <row r="614" spans="1:14" x14ac:dyDescent="0.25">
      <c r="A614" t="s">
        <v>143</v>
      </c>
      <c r="B614" t="s">
        <v>356</v>
      </c>
      <c r="C614" t="s">
        <v>15</v>
      </c>
      <c r="D614">
        <v>1</v>
      </c>
      <c r="E614">
        <v>1000</v>
      </c>
      <c r="F614">
        <v>-0.45419999999999999</v>
      </c>
      <c r="G614">
        <v>-0.50384200000000001</v>
      </c>
      <c r="H614">
        <v>-4.9653872000000002E-2</v>
      </c>
      <c r="I614">
        <v>8.4233000000000002E-2</v>
      </c>
      <c r="J614">
        <v>8.6021E-2</v>
      </c>
      <c r="K614">
        <v>2.1228150000000001E-2</v>
      </c>
      <c r="L614">
        <v>0.109324479</v>
      </c>
      <c r="M614">
        <v>0.84799999999999998</v>
      </c>
      <c r="N614">
        <v>0</v>
      </c>
    </row>
    <row r="615" spans="1:14" x14ac:dyDescent="0.25">
      <c r="A615" t="s">
        <v>143</v>
      </c>
      <c r="B615" t="s">
        <v>356</v>
      </c>
      <c r="C615" t="s">
        <v>16</v>
      </c>
      <c r="D615">
        <v>1</v>
      </c>
      <c r="E615">
        <v>1000</v>
      </c>
      <c r="F615">
        <v>-8.2500000000000004E-2</v>
      </c>
      <c r="G615">
        <v>-9.3979999999999994E-2</v>
      </c>
      <c r="H615">
        <v>-1.1437416000000001E-2</v>
      </c>
      <c r="I615">
        <v>7.1441000000000004E-2</v>
      </c>
      <c r="J615">
        <v>7.7084E-2</v>
      </c>
      <c r="K615">
        <v>7.8982158299999994E-2</v>
      </c>
      <c r="L615">
        <v>0.13856410629999999</v>
      </c>
      <c r="M615">
        <v>0.97299999999999998</v>
      </c>
      <c r="N615">
        <v>0</v>
      </c>
    </row>
    <row r="616" spans="1:14" x14ac:dyDescent="0.25">
      <c r="A616" t="s">
        <v>143</v>
      </c>
      <c r="B616" t="s">
        <v>356</v>
      </c>
      <c r="C616" t="s">
        <v>17</v>
      </c>
      <c r="D616">
        <v>1</v>
      </c>
      <c r="E616">
        <v>1000</v>
      </c>
      <c r="F616">
        <v>-0.12590000000000001</v>
      </c>
      <c r="G616">
        <v>-0.130801</v>
      </c>
      <c r="H616">
        <v>-4.8543019999999996E-3</v>
      </c>
      <c r="I616">
        <v>8.1849999999999996E-3</v>
      </c>
      <c r="J616">
        <v>8.4390000000000003E-3</v>
      </c>
      <c r="K616">
        <v>3.11323958E-2</v>
      </c>
      <c r="L616">
        <v>3.8542636800000002E-2</v>
      </c>
      <c r="M616">
        <v>0.93</v>
      </c>
      <c r="N616">
        <v>0</v>
      </c>
    </row>
    <row r="617" spans="1:14" x14ac:dyDescent="0.25">
      <c r="A617" t="s">
        <v>143</v>
      </c>
      <c r="B617" t="s">
        <v>356</v>
      </c>
      <c r="C617" t="s">
        <v>18</v>
      </c>
      <c r="D617">
        <v>1</v>
      </c>
      <c r="E617">
        <v>1000</v>
      </c>
      <c r="F617">
        <v>-6.9999999999999999E-4</v>
      </c>
      <c r="G617">
        <v>3.2369999999999999E-3</v>
      </c>
      <c r="H617">
        <v>3.9444889999999998E-3</v>
      </c>
      <c r="I617">
        <v>5.7130000000000002E-3</v>
      </c>
      <c r="J617">
        <v>6.2459999999999998E-3</v>
      </c>
      <c r="K617">
        <v>9.3271218599999997E-2</v>
      </c>
      <c r="L617">
        <v>-5.5735829419999998</v>
      </c>
      <c r="M617">
        <v>0.91800000000000004</v>
      </c>
      <c r="N617">
        <v>0</v>
      </c>
    </row>
    <row r="618" spans="1:14" x14ac:dyDescent="0.25">
      <c r="A618" t="s">
        <v>143</v>
      </c>
      <c r="B618" t="s">
        <v>629</v>
      </c>
      <c r="C618" t="s">
        <v>12</v>
      </c>
      <c r="D618">
        <v>1</v>
      </c>
      <c r="E618">
        <v>960</v>
      </c>
      <c r="F618">
        <v>107.0774</v>
      </c>
      <c r="G618">
        <v>106.933149</v>
      </c>
      <c r="H618">
        <v>-0.144259842</v>
      </c>
      <c r="I618">
        <v>2.2802829999999998</v>
      </c>
      <c r="J618">
        <v>2.3307099999999998</v>
      </c>
      <c r="K618">
        <v>2.2114536099999998E-2</v>
      </c>
      <c r="L618">
        <v>-1.3472479999999999E-3</v>
      </c>
      <c r="M618">
        <v>0.95833333330000003</v>
      </c>
      <c r="N618">
        <v>0</v>
      </c>
    </row>
    <row r="619" spans="1:14" x14ac:dyDescent="0.25">
      <c r="A619" t="s">
        <v>143</v>
      </c>
      <c r="B619" t="s">
        <v>629</v>
      </c>
      <c r="C619" t="s">
        <v>13</v>
      </c>
      <c r="D619">
        <v>1</v>
      </c>
      <c r="E619">
        <v>960</v>
      </c>
      <c r="F619">
        <v>-4.7686000000000002</v>
      </c>
      <c r="G619">
        <v>-4.8314170000000001</v>
      </c>
      <c r="H619">
        <v>-6.2775424999999996E-2</v>
      </c>
      <c r="I619">
        <v>0.89366699999999999</v>
      </c>
      <c r="J619">
        <v>0.89790499999999995</v>
      </c>
      <c r="K619">
        <v>4.7420574000000002E-3</v>
      </c>
      <c r="L619">
        <v>1.31642153E-2</v>
      </c>
      <c r="M619">
        <v>0.95104166670000001</v>
      </c>
      <c r="N619">
        <v>0</v>
      </c>
    </row>
    <row r="620" spans="1:14" x14ac:dyDescent="0.25">
      <c r="A620" t="s">
        <v>143</v>
      </c>
      <c r="B620" t="s">
        <v>629</v>
      </c>
      <c r="C620" t="s">
        <v>14</v>
      </c>
      <c r="D620">
        <v>1</v>
      </c>
      <c r="E620">
        <v>960</v>
      </c>
      <c r="F620">
        <v>8.6966999999999999</v>
      </c>
      <c r="G620">
        <v>8.7013780000000001</v>
      </c>
      <c r="H620">
        <v>4.67943E-3</v>
      </c>
      <c r="I620">
        <v>0.51088599999999995</v>
      </c>
      <c r="J620">
        <v>0.52332299999999998</v>
      </c>
      <c r="K620">
        <v>2.4345760000000001E-2</v>
      </c>
      <c r="L620">
        <v>5.3806969999999998E-4</v>
      </c>
      <c r="M620">
        <v>0.95416666670000005</v>
      </c>
      <c r="N620">
        <v>0</v>
      </c>
    </row>
    <row r="621" spans="1:14" x14ac:dyDescent="0.25">
      <c r="A621" t="s">
        <v>143</v>
      </c>
      <c r="B621" t="s">
        <v>629</v>
      </c>
      <c r="C621" t="s">
        <v>15</v>
      </c>
      <c r="D621">
        <v>1</v>
      </c>
      <c r="E621">
        <v>960</v>
      </c>
      <c r="F621">
        <v>-1.6103000000000001</v>
      </c>
      <c r="G621">
        <v>-1.651346</v>
      </c>
      <c r="H621">
        <v>-4.1051239000000003E-2</v>
      </c>
      <c r="I621">
        <v>0.62454100000000001</v>
      </c>
      <c r="J621">
        <v>0.61558299999999999</v>
      </c>
      <c r="K621">
        <v>-1.4343589E-2</v>
      </c>
      <c r="L621">
        <v>2.54929996E-2</v>
      </c>
      <c r="M621">
        <v>0.953125</v>
      </c>
      <c r="N621">
        <v>0</v>
      </c>
    </row>
    <row r="622" spans="1:14" x14ac:dyDescent="0.25">
      <c r="A622" t="s">
        <v>143</v>
      </c>
      <c r="B622" t="s">
        <v>629</v>
      </c>
      <c r="C622" t="s">
        <v>16</v>
      </c>
      <c r="D622">
        <v>1</v>
      </c>
      <c r="E622">
        <v>960</v>
      </c>
      <c r="F622">
        <v>-7.9151999999999996</v>
      </c>
      <c r="G622">
        <v>-7.9422300000000003</v>
      </c>
      <c r="H622">
        <v>-2.7053937E-2</v>
      </c>
      <c r="I622">
        <v>0.63431199999999999</v>
      </c>
      <c r="J622">
        <v>0.65338300000000005</v>
      </c>
      <c r="K622">
        <v>3.00648702E-2</v>
      </c>
      <c r="L622">
        <v>3.4179830999999999E-3</v>
      </c>
      <c r="M622">
        <v>0.95625000000000004</v>
      </c>
      <c r="N622">
        <v>0</v>
      </c>
    </row>
    <row r="623" spans="1:14" x14ac:dyDescent="0.25">
      <c r="A623" t="s">
        <v>143</v>
      </c>
      <c r="B623" t="s">
        <v>629</v>
      </c>
      <c r="C623" t="s">
        <v>17</v>
      </c>
      <c r="D623">
        <v>1</v>
      </c>
      <c r="E623">
        <v>960</v>
      </c>
      <c r="F623">
        <v>5.8681000000000001</v>
      </c>
      <c r="G623">
        <v>5.8569760000000004</v>
      </c>
      <c r="H623">
        <v>-1.116286E-2</v>
      </c>
      <c r="I623">
        <v>4.2011E-2</v>
      </c>
      <c r="J623">
        <v>4.4445999999999999E-2</v>
      </c>
      <c r="K623">
        <v>5.7949364699999999E-2</v>
      </c>
      <c r="L623">
        <v>-1.9022830000000001E-3</v>
      </c>
      <c r="M623">
        <v>0.95729166669999999</v>
      </c>
      <c r="N623">
        <v>0</v>
      </c>
    </row>
    <row r="624" spans="1:14" x14ac:dyDescent="0.25">
      <c r="A624" t="s">
        <v>143</v>
      </c>
      <c r="B624" t="s">
        <v>629</v>
      </c>
      <c r="C624" t="s">
        <v>18</v>
      </c>
      <c r="D624">
        <v>1</v>
      </c>
      <c r="E624">
        <v>960</v>
      </c>
      <c r="F624">
        <v>2.8400000000000002E-2</v>
      </c>
      <c r="G624">
        <v>3.9648000000000003E-2</v>
      </c>
      <c r="H624">
        <v>1.1231680000000001E-2</v>
      </c>
      <c r="I624">
        <v>3.2513E-2</v>
      </c>
      <c r="J624">
        <v>3.4374000000000002E-2</v>
      </c>
      <c r="K624">
        <v>5.7248267999999998E-2</v>
      </c>
      <c r="L624">
        <v>0.39525170840000001</v>
      </c>
      <c r="M624">
        <v>0.95208333329999995</v>
      </c>
      <c r="N624">
        <v>0</v>
      </c>
    </row>
    <row r="625" spans="1:14" x14ac:dyDescent="0.25">
      <c r="A625" t="s">
        <v>143</v>
      </c>
      <c r="B625" t="s">
        <v>630</v>
      </c>
      <c r="C625" t="s">
        <v>12</v>
      </c>
      <c r="D625">
        <v>1</v>
      </c>
      <c r="E625">
        <v>890</v>
      </c>
      <c r="F625">
        <v>3.1354000000000002</v>
      </c>
      <c r="G625">
        <v>3.1697000000000002</v>
      </c>
      <c r="H625">
        <v>3.4308741300000001E-2</v>
      </c>
      <c r="I625">
        <v>0.28543000000000002</v>
      </c>
      <c r="J625">
        <v>0.31521399999999999</v>
      </c>
      <c r="K625">
        <v>0.1043462139</v>
      </c>
      <c r="L625">
        <v>1.0942412300000001E-2</v>
      </c>
      <c r="M625">
        <v>0.95955056179999998</v>
      </c>
      <c r="N625">
        <v>0</v>
      </c>
    </row>
    <row r="626" spans="1:14" x14ac:dyDescent="0.25">
      <c r="A626" t="s">
        <v>143</v>
      </c>
      <c r="B626" t="s">
        <v>630</v>
      </c>
      <c r="C626" t="s">
        <v>13</v>
      </c>
      <c r="D626">
        <v>1</v>
      </c>
      <c r="E626">
        <v>890</v>
      </c>
      <c r="F626">
        <v>-0.44119999999999998</v>
      </c>
      <c r="G626">
        <v>-0.404943</v>
      </c>
      <c r="H626">
        <v>3.6262923099999997E-2</v>
      </c>
      <c r="I626">
        <v>0.112773</v>
      </c>
      <c r="J626">
        <v>0.120307</v>
      </c>
      <c r="K626">
        <v>6.6809652799999994E-2</v>
      </c>
      <c r="L626">
        <v>-8.2190405999999994E-2</v>
      </c>
      <c r="M626">
        <v>0.93820224720000001</v>
      </c>
      <c r="N626">
        <v>0</v>
      </c>
    </row>
    <row r="627" spans="1:14" x14ac:dyDescent="0.25">
      <c r="A627" t="s">
        <v>143</v>
      </c>
      <c r="B627" t="s">
        <v>630</v>
      </c>
      <c r="C627" t="s">
        <v>14</v>
      </c>
      <c r="D627">
        <v>1</v>
      </c>
      <c r="E627">
        <v>890</v>
      </c>
      <c r="F627">
        <v>-7.3000000000000001E-3</v>
      </c>
      <c r="G627">
        <v>-2.3390999999999999E-2</v>
      </c>
      <c r="H627">
        <v>-1.6077516E-2</v>
      </c>
      <c r="I627">
        <v>5.6464E-2</v>
      </c>
      <c r="J627">
        <v>6.1464999999999999E-2</v>
      </c>
      <c r="K627">
        <v>8.8578709800000002E-2</v>
      </c>
      <c r="L627">
        <v>2.1981930401000001</v>
      </c>
      <c r="M627">
        <v>0.95056179780000005</v>
      </c>
      <c r="N627">
        <v>0</v>
      </c>
    </row>
    <row r="628" spans="1:14" x14ac:dyDescent="0.25">
      <c r="A628" t="s">
        <v>143</v>
      </c>
      <c r="B628" t="s">
        <v>630</v>
      </c>
      <c r="C628" t="s">
        <v>15</v>
      </c>
      <c r="D628">
        <v>1</v>
      </c>
      <c r="E628">
        <v>890</v>
      </c>
      <c r="F628">
        <v>-0.45419999999999999</v>
      </c>
      <c r="G628">
        <v>-0.50672200000000001</v>
      </c>
      <c r="H628">
        <v>-5.2533600999999999E-2</v>
      </c>
      <c r="I628">
        <v>8.3796999999999996E-2</v>
      </c>
      <c r="J628">
        <v>8.6332000000000006E-2</v>
      </c>
      <c r="K628">
        <v>3.0243344299999999E-2</v>
      </c>
      <c r="L628">
        <v>0.1156648681</v>
      </c>
      <c r="M628">
        <v>0.83370786519999995</v>
      </c>
      <c r="N628">
        <v>0</v>
      </c>
    </row>
    <row r="629" spans="1:14" x14ac:dyDescent="0.25">
      <c r="A629" t="s">
        <v>143</v>
      </c>
      <c r="B629" t="s">
        <v>630</v>
      </c>
      <c r="C629" t="s">
        <v>16</v>
      </c>
      <c r="D629">
        <v>1</v>
      </c>
      <c r="E629">
        <v>890</v>
      </c>
      <c r="F629">
        <v>-8.2500000000000004E-2</v>
      </c>
      <c r="G629">
        <v>-9.2156000000000002E-2</v>
      </c>
      <c r="H629">
        <v>-9.6135140000000001E-3</v>
      </c>
      <c r="I629">
        <v>7.1318000000000006E-2</v>
      </c>
      <c r="J629">
        <v>7.6083999999999999E-2</v>
      </c>
      <c r="K629">
        <v>6.6819164299999997E-2</v>
      </c>
      <c r="L629">
        <v>0.1164675702</v>
      </c>
      <c r="M629">
        <v>0.96853932580000002</v>
      </c>
      <c r="N629">
        <v>0</v>
      </c>
    </row>
    <row r="630" spans="1:14" x14ac:dyDescent="0.25">
      <c r="A630" t="s">
        <v>143</v>
      </c>
      <c r="B630" t="s">
        <v>630</v>
      </c>
      <c r="C630" t="s">
        <v>17</v>
      </c>
      <c r="D630">
        <v>1</v>
      </c>
      <c r="E630">
        <v>890</v>
      </c>
      <c r="F630">
        <v>-0.12590000000000001</v>
      </c>
      <c r="G630">
        <v>-0.13143099999999999</v>
      </c>
      <c r="H630">
        <v>-5.4846640000000002E-3</v>
      </c>
      <c r="I630">
        <v>8.3479999999999995E-3</v>
      </c>
      <c r="J630">
        <v>8.6210000000000002E-3</v>
      </c>
      <c r="K630">
        <v>3.2741242900000002E-2</v>
      </c>
      <c r="L630">
        <v>4.3547640499999998E-2</v>
      </c>
      <c r="M630">
        <v>0.91123595509999999</v>
      </c>
      <c r="N630">
        <v>0</v>
      </c>
    </row>
    <row r="631" spans="1:14" x14ac:dyDescent="0.25">
      <c r="A631" t="s">
        <v>143</v>
      </c>
      <c r="B631" t="s">
        <v>630</v>
      </c>
      <c r="C631" t="s">
        <v>18</v>
      </c>
      <c r="D631">
        <v>1</v>
      </c>
      <c r="E631">
        <v>890</v>
      </c>
      <c r="F631">
        <v>-6.9999999999999999E-4</v>
      </c>
      <c r="G631">
        <v>3.8670000000000002E-3</v>
      </c>
      <c r="H631">
        <v>4.5751165999999999E-3</v>
      </c>
      <c r="I631">
        <v>6.0229999999999997E-3</v>
      </c>
      <c r="J631">
        <v>6.4869999999999997E-3</v>
      </c>
      <c r="K631">
        <v>7.7058684099999997E-2</v>
      </c>
      <c r="L631">
        <v>-6.4646628850000001</v>
      </c>
      <c r="M631">
        <v>0.90786516849999999</v>
      </c>
      <c r="N631">
        <v>0</v>
      </c>
    </row>
    <row r="632" spans="1:14" x14ac:dyDescent="0.25">
      <c r="A632" t="s">
        <v>143</v>
      </c>
      <c r="B632" t="s">
        <v>164</v>
      </c>
      <c r="C632" t="s">
        <v>12</v>
      </c>
      <c r="D632">
        <v>1</v>
      </c>
      <c r="E632">
        <v>1000</v>
      </c>
      <c r="F632">
        <v>107.0774</v>
      </c>
      <c r="G632">
        <v>106.47678999999999</v>
      </c>
      <c r="H632">
        <v>-0.60061874299999995</v>
      </c>
      <c r="I632">
        <v>2.1918500000000001</v>
      </c>
      <c r="J632">
        <v>2.20112</v>
      </c>
      <c r="K632">
        <v>4.2294741E-3</v>
      </c>
      <c r="L632">
        <v>-5.6092010000000003E-3</v>
      </c>
      <c r="M632">
        <v>0.94599999999999995</v>
      </c>
      <c r="N632">
        <v>1</v>
      </c>
    </row>
    <row r="633" spans="1:14" x14ac:dyDescent="0.25">
      <c r="A633" t="s">
        <v>143</v>
      </c>
      <c r="B633" t="s">
        <v>164</v>
      </c>
      <c r="C633" t="s">
        <v>13</v>
      </c>
      <c r="D633">
        <v>1</v>
      </c>
      <c r="E633">
        <v>1000</v>
      </c>
      <c r="F633">
        <v>-4.7686000000000002</v>
      </c>
      <c r="G633">
        <v>-4.7489970000000001</v>
      </c>
      <c r="H633">
        <v>1.96449174E-2</v>
      </c>
      <c r="I633">
        <v>0.87645799999999996</v>
      </c>
      <c r="J633">
        <v>0.89733499999999999</v>
      </c>
      <c r="K633">
        <v>2.3819082299999999E-2</v>
      </c>
      <c r="L633">
        <v>-4.1196039999999998E-3</v>
      </c>
      <c r="M633">
        <v>0.95299999999999996</v>
      </c>
      <c r="N633">
        <v>1</v>
      </c>
    </row>
    <row r="634" spans="1:14" x14ac:dyDescent="0.25">
      <c r="A634" t="s">
        <v>143</v>
      </c>
      <c r="B634" t="s">
        <v>164</v>
      </c>
      <c r="C634" t="s">
        <v>14</v>
      </c>
      <c r="D634">
        <v>1</v>
      </c>
      <c r="E634">
        <v>1000</v>
      </c>
      <c r="F634">
        <v>8.6966999999999999</v>
      </c>
      <c r="G634">
        <v>8.6199530000000006</v>
      </c>
      <c r="H634">
        <v>-7.6745835999999998E-2</v>
      </c>
      <c r="I634">
        <v>0.53321300000000005</v>
      </c>
      <c r="J634">
        <v>0.52735799999999999</v>
      </c>
      <c r="K634">
        <v>-1.0979304E-2</v>
      </c>
      <c r="L634">
        <v>-8.824709E-3</v>
      </c>
      <c r="M634">
        <v>0.93799999999999994</v>
      </c>
      <c r="N634">
        <v>1</v>
      </c>
    </row>
    <row r="635" spans="1:14" x14ac:dyDescent="0.25">
      <c r="A635" t="s">
        <v>143</v>
      </c>
      <c r="B635" t="s">
        <v>164</v>
      </c>
      <c r="C635" t="s">
        <v>15</v>
      </c>
      <c r="D635">
        <v>1</v>
      </c>
      <c r="E635">
        <v>1000</v>
      </c>
      <c r="F635">
        <v>-1.6103000000000001</v>
      </c>
      <c r="G635">
        <v>-1.526751</v>
      </c>
      <c r="H635">
        <v>8.3543516600000006E-2</v>
      </c>
      <c r="I635">
        <v>0.54947500000000005</v>
      </c>
      <c r="J635">
        <v>0.55172699999999997</v>
      </c>
      <c r="K635">
        <v>4.0984194E-3</v>
      </c>
      <c r="L635">
        <v>-5.1880890999999998E-2</v>
      </c>
      <c r="M635">
        <v>0.95</v>
      </c>
      <c r="N635">
        <v>0.77500000000000002</v>
      </c>
    </row>
    <row r="636" spans="1:14" x14ac:dyDescent="0.25">
      <c r="A636" t="s">
        <v>143</v>
      </c>
      <c r="B636" t="s">
        <v>164</v>
      </c>
      <c r="C636" t="s">
        <v>16</v>
      </c>
      <c r="D636">
        <v>1</v>
      </c>
      <c r="E636">
        <v>1000</v>
      </c>
      <c r="F636">
        <v>-7.9151999999999996</v>
      </c>
      <c r="G636">
        <v>-7.8975530000000003</v>
      </c>
      <c r="H636">
        <v>1.7623122500000001E-2</v>
      </c>
      <c r="I636">
        <v>0.69084900000000005</v>
      </c>
      <c r="J636">
        <v>0.69245299999999999</v>
      </c>
      <c r="K636">
        <v>2.3226483000000002E-3</v>
      </c>
      <c r="L636">
        <v>-2.2264979999999999E-3</v>
      </c>
      <c r="M636">
        <v>0.94299999999999995</v>
      </c>
      <c r="N636">
        <v>1</v>
      </c>
    </row>
    <row r="637" spans="1:14" x14ac:dyDescent="0.25">
      <c r="A637" t="s">
        <v>143</v>
      </c>
      <c r="B637" t="s">
        <v>164</v>
      </c>
      <c r="C637" t="s">
        <v>17</v>
      </c>
      <c r="D637">
        <v>1</v>
      </c>
      <c r="E637">
        <v>1000</v>
      </c>
      <c r="F637">
        <v>5.8681000000000001</v>
      </c>
      <c r="G637">
        <v>5.8638750000000002</v>
      </c>
      <c r="H637">
        <v>-4.2642619999999996E-3</v>
      </c>
      <c r="I637">
        <v>3.9997999999999999E-2</v>
      </c>
      <c r="J637">
        <v>4.1283E-2</v>
      </c>
      <c r="K637">
        <v>3.21273735E-2</v>
      </c>
      <c r="L637">
        <v>-7.2668099999999996E-4</v>
      </c>
      <c r="M637">
        <v>0.95099999999999996</v>
      </c>
      <c r="N637">
        <v>1</v>
      </c>
    </row>
    <row r="638" spans="1:14" x14ac:dyDescent="0.25">
      <c r="A638" t="s">
        <v>143</v>
      </c>
      <c r="B638" t="s">
        <v>164</v>
      </c>
      <c r="C638" t="s">
        <v>18</v>
      </c>
      <c r="D638">
        <v>1</v>
      </c>
      <c r="E638">
        <v>1000</v>
      </c>
      <c r="F638">
        <v>2.8400000000000002E-2</v>
      </c>
      <c r="G638">
        <v>3.1569E-2</v>
      </c>
      <c r="H638">
        <v>3.1523783000000001E-3</v>
      </c>
      <c r="I638">
        <v>2.7108E-2</v>
      </c>
      <c r="J638">
        <v>2.6209E-2</v>
      </c>
      <c r="K638">
        <v>-3.3127706E-2</v>
      </c>
      <c r="L638">
        <v>0.110934688</v>
      </c>
      <c r="M638">
        <v>0.93600000000000005</v>
      </c>
      <c r="N638">
        <v>0.24099999999999999</v>
      </c>
    </row>
    <row r="639" spans="1:14" x14ac:dyDescent="0.25">
      <c r="A639" t="s">
        <v>143</v>
      </c>
      <c r="B639" t="s">
        <v>169</v>
      </c>
      <c r="C639" t="s">
        <v>12</v>
      </c>
      <c r="D639">
        <v>1</v>
      </c>
      <c r="E639">
        <v>1000</v>
      </c>
      <c r="F639">
        <v>107.0774</v>
      </c>
      <c r="G639">
        <v>105.37715900000001</v>
      </c>
      <c r="H639">
        <v>-1.700249218</v>
      </c>
      <c r="I639">
        <v>2.1789040000000002</v>
      </c>
      <c r="J639">
        <v>2.1653570000000002</v>
      </c>
      <c r="K639">
        <v>-6.2172440000000002E-3</v>
      </c>
      <c r="L639">
        <v>-1.5878692E-2</v>
      </c>
      <c r="M639">
        <v>0.879</v>
      </c>
      <c r="N639">
        <v>1</v>
      </c>
    </row>
    <row r="640" spans="1:14" x14ac:dyDescent="0.25">
      <c r="A640" t="s">
        <v>143</v>
      </c>
      <c r="B640" t="s">
        <v>169</v>
      </c>
      <c r="C640" t="s">
        <v>13</v>
      </c>
      <c r="D640">
        <v>1</v>
      </c>
      <c r="E640">
        <v>1000</v>
      </c>
      <c r="F640">
        <v>-4.7686000000000002</v>
      </c>
      <c r="G640">
        <v>-4.120228</v>
      </c>
      <c r="H640">
        <v>0.64841401649999997</v>
      </c>
      <c r="I640">
        <v>0.86932600000000004</v>
      </c>
      <c r="J640">
        <v>0.88600699999999999</v>
      </c>
      <c r="K640">
        <v>1.9188217E-2</v>
      </c>
      <c r="L640">
        <v>-0.13597457399999999</v>
      </c>
      <c r="M640">
        <v>0.89300000000000002</v>
      </c>
      <c r="N640">
        <v>0.997</v>
      </c>
    </row>
    <row r="641" spans="1:14" x14ac:dyDescent="0.25">
      <c r="A641" t="s">
        <v>143</v>
      </c>
      <c r="B641" t="s">
        <v>169</v>
      </c>
      <c r="C641" t="s">
        <v>14</v>
      </c>
      <c r="D641">
        <v>1</v>
      </c>
      <c r="E641">
        <v>1000</v>
      </c>
      <c r="F641">
        <v>8.6966999999999999</v>
      </c>
      <c r="G641">
        <v>8.5465619999999998</v>
      </c>
      <c r="H641">
        <v>-0.15013636699999999</v>
      </c>
      <c r="I641">
        <v>0.49522699999999997</v>
      </c>
      <c r="J641">
        <v>0.51566000000000001</v>
      </c>
      <c r="K641">
        <v>4.1259662599999997E-2</v>
      </c>
      <c r="L641">
        <v>-1.7263605000000001E-2</v>
      </c>
      <c r="M641">
        <v>0.95</v>
      </c>
      <c r="N641">
        <v>1</v>
      </c>
    </row>
    <row r="642" spans="1:14" x14ac:dyDescent="0.25">
      <c r="A642" t="s">
        <v>143</v>
      </c>
      <c r="B642" t="s">
        <v>169</v>
      </c>
      <c r="C642" t="s">
        <v>15</v>
      </c>
      <c r="D642">
        <v>1</v>
      </c>
      <c r="E642">
        <v>1000</v>
      </c>
      <c r="F642">
        <v>-1.6103000000000001</v>
      </c>
      <c r="G642">
        <v>-1.549895</v>
      </c>
      <c r="H642">
        <v>6.03999432E-2</v>
      </c>
      <c r="I642">
        <v>0.545871</v>
      </c>
      <c r="J642">
        <v>0.54312000000000005</v>
      </c>
      <c r="K642">
        <v>-5.0395650000000002E-3</v>
      </c>
      <c r="L642">
        <v>-3.7508630000000001E-2</v>
      </c>
      <c r="M642">
        <v>0.94399999999999995</v>
      </c>
      <c r="N642">
        <v>0.81100000000000005</v>
      </c>
    </row>
    <row r="643" spans="1:14" x14ac:dyDescent="0.25">
      <c r="A643" t="s">
        <v>143</v>
      </c>
      <c r="B643" t="s">
        <v>169</v>
      </c>
      <c r="C643" t="s">
        <v>16</v>
      </c>
      <c r="D643">
        <v>1</v>
      </c>
      <c r="E643">
        <v>1000</v>
      </c>
      <c r="F643">
        <v>-7.9151999999999996</v>
      </c>
      <c r="G643">
        <v>-8.0621609999999997</v>
      </c>
      <c r="H643">
        <v>-0.14698552400000001</v>
      </c>
      <c r="I643">
        <v>0.67940699999999998</v>
      </c>
      <c r="J643">
        <v>0.68544000000000005</v>
      </c>
      <c r="K643">
        <v>8.8786851000000003E-3</v>
      </c>
      <c r="L643">
        <v>1.8570090000000001E-2</v>
      </c>
      <c r="M643">
        <v>0.95</v>
      </c>
      <c r="N643">
        <v>1</v>
      </c>
    </row>
    <row r="644" spans="1:14" x14ac:dyDescent="0.25">
      <c r="A644" t="s">
        <v>143</v>
      </c>
      <c r="B644" t="s">
        <v>169</v>
      </c>
      <c r="C644" t="s">
        <v>17</v>
      </c>
      <c r="D644">
        <v>1</v>
      </c>
      <c r="E644">
        <v>1000</v>
      </c>
      <c r="F644">
        <v>5.8681000000000001</v>
      </c>
      <c r="G644">
        <v>5.8794630000000003</v>
      </c>
      <c r="H644">
        <v>1.1324400700000001E-2</v>
      </c>
      <c r="I644">
        <v>3.6452999999999999E-2</v>
      </c>
      <c r="J644">
        <v>4.0252000000000003E-2</v>
      </c>
      <c r="K644">
        <v>0.1042292804</v>
      </c>
      <c r="L644">
        <v>1.9298112000000001E-3</v>
      </c>
      <c r="M644">
        <v>0.96</v>
      </c>
      <c r="N644">
        <v>1</v>
      </c>
    </row>
    <row r="645" spans="1:14" x14ac:dyDescent="0.25">
      <c r="A645" t="s">
        <v>143</v>
      </c>
      <c r="B645" t="s">
        <v>169</v>
      </c>
      <c r="C645" t="s">
        <v>18</v>
      </c>
      <c r="D645">
        <v>1</v>
      </c>
      <c r="E645">
        <v>1000</v>
      </c>
      <c r="F645">
        <v>2.8400000000000002E-2</v>
      </c>
      <c r="G645">
        <v>3.3569000000000002E-2</v>
      </c>
      <c r="H645">
        <v>5.1521146000000004E-3</v>
      </c>
      <c r="I645">
        <v>2.6169000000000001E-2</v>
      </c>
      <c r="J645">
        <v>2.5779E-2</v>
      </c>
      <c r="K645">
        <v>-1.4898201999999999E-2</v>
      </c>
      <c r="L645">
        <v>0.18130698949999999</v>
      </c>
      <c r="M645">
        <v>0.93899999999999995</v>
      </c>
      <c r="N645">
        <v>0.26700000000000002</v>
      </c>
    </row>
    <row r="646" spans="1:14" x14ac:dyDescent="0.25">
      <c r="A646" t="s">
        <v>143</v>
      </c>
      <c r="B646" t="s">
        <v>357</v>
      </c>
      <c r="C646" t="s">
        <v>12</v>
      </c>
      <c r="D646">
        <v>1</v>
      </c>
      <c r="E646">
        <v>1000</v>
      </c>
      <c r="F646">
        <v>107.0774</v>
      </c>
      <c r="G646">
        <v>107.13678</v>
      </c>
      <c r="H646">
        <v>5.9371130899999999E-2</v>
      </c>
      <c r="I646">
        <v>1.97749</v>
      </c>
      <c r="J646">
        <v>2.0179770000000001</v>
      </c>
      <c r="K646">
        <v>2.0473953499999999E-2</v>
      </c>
      <c r="L646">
        <v>5.5446930000000003E-4</v>
      </c>
      <c r="M646">
        <v>0.95299999999999996</v>
      </c>
      <c r="N646">
        <v>1</v>
      </c>
    </row>
    <row r="647" spans="1:14" x14ac:dyDescent="0.25">
      <c r="A647" t="s">
        <v>143</v>
      </c>
      <c r="B647" t="s">
        <v>357</v>
      </c>
      <c r="C647" t="s">
        <v>13</v>
      </c>
      <c r="D647">
        <v>1</v>
      </c>
      <c r="E647">
        <v>1000</v>
      </c>
      <c r="F647">
        <v>-4.7686000000000002</v>
      </c>
      <c r="G647">
        <v>-4.8290519999999999</v>
      </c>
      <c r="H647">
        <v>-6.0409862000000002E-2</v>
      </c>
      <c r="I647">
        <v>0.77804499999999999</v>
      </c>
      <c r="J647">
        <v>0.77746000000000004</v>
      </c>
      <c r="K647">
        <v>-7.5114300000000001E-4</v>
      </c>
      <c r="L647">
        <v>1.2668148799999999E-2</v>
      </c>
      <c r="M647">
        <v>0.95</v>
      </c>
      <c r="N647">
        <v>1</v>
      </c>
    </row>
    <row r="648" spans="1:14" x14ac:dyDescent="0.25">
      <c r="A648" t="s">
        <v>143</v>
      </c>
      <c r="B648" t="s">
        <v>357</v>
      </c>
      <c r="C648" t="s">
        <v>14</v>
      </c>
      <c r="D648">
        <v>1</v>
      </c>
      <c r="E648">
        <v>1000</v>
      </c>
      <c r="F648">
        <v>8.6966999999999999</v>
      </c>
      <c r="G648">
        <v>8.6639630000000007</v>
      </c>
      <c r="H648">
        <v>-3.2735312000000003E-2</v>
      </c>
      <c r="I648">
        <v>0.46463500000000002</v>
      </c>
      <c r="J648">
        <v>0.46825</v>
      </c>
      <c r="K648">
        <v>7.7799193999999999E-3</v>
      </c>
      <c r="L648">
        <v>-3.764108E-3</v>
      </c>
      <c r="M648">
        <v>0.95199999999999996</v>
      </c>
      <c r="N648">
        <v>1</v>
      </c>
    </row>
    <row r="649" spans="1:14" x14ac:dyDescent="0.25">
      <c r="A649" t="s">
        <v>143</v>
      </c>
      <c r="B649" t="s">
        <v>357</v>
      </c>
      <c r="C649" t="s">
        <v>15</v>
      </c>
      <c r="D649">
        <v>1</v>
      </c>
      <c r="E649">
        <v>1000</v>
      </c>
      <c r="F649">
        <v>-1.6103000000000001</v>
      </c>
      <c r="G649">
        <v>-1.6029180000000001</v>
      </c>
      <c r="H649">
        <v>7.3763835E-3</v>
      </c>
      <c r="I649">
        <v>0.48794999999999999</v>
      </c>
      <c r="J649">
        <v>0.49936399999999997</v>
      </c>
      <c r="K649">
        <v>2.3392105699999999E-2</v>
      </c>
      <c r="L649">
        <v>-4.5807670000000003E-3</v>
      </c>
      <c r="M649">
        <v>0.95699999999999996</v>
      </c>
      <c r="N649">
        <v>0.89800000000000002</v>
      </c>
    </row>
    <row r="650" spans="1:14" x14ac:dyDescent="0.25">
      <c r="A650" t="s">
        <v>143</v>
      </c>
      <c r="B650" t="s">
        <v>357</v>
      </c>
      <c r="C650" t="s">
        <v>16</v>
      </c>
      <c r="D650">
        <v>1</v>
      </c>
      <c r="E650">
        <v>1000</v>
      </c>
      <c r="F650">
        <v>-7.9151999999999996</v>
      </c>
      <c r="G650">
        <v>-7.8759259999999998</v>
      </c>
      <c r="H650">
        <v>3.9249810400000001E-2</v>
      </c>
      <c r="I650">
        <v>0.57585699999999995</v>
      </c>
      <c r="J650">
        <v>0.58785900000000002</v>
      </c>
      <c r="K650">
        <v>2.0842018899999998E-2</v>
      </c>
      <c r="L650">
        <v>-4.9588050000000002E-3</v>
      </c>
      <c r="M650">
        <v>0.95499999999999996</v>
      </c>
      <c r="N650">
        <v>1</v>
      </c>
    </row>
    <row r="651" spans="1:14" x14ac:dyDescent="0.25">
      <c r="A651" t="s">
        <v>143</v>
      </c>
      <c r="B651" t="s">
        <v>357</v>
      </c>
      <c r="C651" t="s">
        <v>17</v>
      </c>
      <c r="D651">
        <v>1</v>
      </c>
      <c r="E651">
        <v>1000</v>
      </c>
      <c r="F651">
        <v>5.8681000000000001</v>
      </c>
      <c r="G651">
        <v>5.8685580000000002</v>
      </c>
      <c r="H651">
        <v>4.1925010000000001E-4</v>
      </c>
      <c r="I651">
        <v>3.2412999999999997E-2</v>
      </c>
      <c r="J651">
        <v>3.4525E-2</v>
      </c>
      <c r="K651">
        <v>6.5165898299999997E-2</v>
      </c>
      <c r="L651">
        <v>7.1445200000000005E-5</v>
      </c>
      <c r="M651">
        <v>0.96299999999999997</v>
      </c>
      <c r="N651">
        <v>1</v>
      </c>
    </row>
    <row r="652" spans="1:14" x14ac:dyDescent="0.25">
      <c r="A652" t="s">
        <v>143</v>
      </c>
      <c r="B652" t="s">
        <v>357</v>
      </c>
      <c r="C652" t="s">
        <v>18</v>
      </c>
      <c r="D652">
        <v>1</v>
      </c>
      <c r="E652">
        <v>1000</v>
      </c>
      <c r="F652">
        <v>2.8400000000000002E-2</v>
      </c>
      <c r="G652">
        <v>3.1123999999999999E-2</v>
      </c>
      <c r="H652">
        <v>2.7073703999999999E-3</v>
      </c>
      <c r="I652">
        <v>2.2703000000000001E-2</v>
      </c>
      <c r="J652">
        <v>2.3047000000000002E-2</v>
      </c>
      <c r="K652">
        <v>1.5120941000000001E-2</v>
      </c>
      <c r="L652">
        <v>9.5274508899999999E-2</v>
      </c>
      <c r="M652">
        <v>0.94699999999999995</v>
      </c>
      <c r="N652">
        <v>0.27100000000000002</v>
      </c>
    </row>
    <row r="653" spans="1:14" x14ac:dyDescent="0.25">
      <c r="A653" t="s">
        <v>143</v>
      </c>
      <c r="B653" t="s">
        <v>358</v>
      </c>
      <c r="C653" t="s">
        <v>12</v>
      </c>
      <c r="D653">
        <v>1</v>
      </c>
      <c r="E653">
        <v>1000</v>
      </c>
      <c r="F653">
        <v>107.0774</v>
      </c>
      <c r="G653">
        <v>107.141903</v>
      </c>
      <c r="H653">
        <v>6.4493958000000004E-2</v>
      </c>
      <c r="I653">
        <v>2.025013</v>
      </c>
      <c r="J653">
        <v>2.0361370000000001</v>
      </c>
      <c r="K653">
        <v>5.4937118000000004E-3</v>
      </c>
      <c r="L653">
        <v>6.0231149999999997E-4</v>
      </c>
      <c r="M653">
        <v>0.95199999999999996</v>
      </c>
      <c r="N653">
        <v>1</v>
      </c>
    </row>
    <row r="654" spans="1:14" x14ac:dyDescent="0.25">
      <c r="A654" t="s">
        <v>143</v>
      </c>
      <c r="B654" t="s">
        <v>358</v>
      </c>
      <c r="C654" t="s">
        <v>13</v>
      </c>
      <c r="D654">
        <v>1</v>
      </c>
      <c r="E654">
        <v>1000</v>
      </c>
      <c r="F654">
        <v>-4.7686000000000002</v>
      </c>
      <c r="G654">
        <v>-4.8183249999999997</v>
      </c>
      <c r="H654">
        <v>-4.9682961999999997E-2</v>
      </c>
      <c r="I654">
        <v>0.78087300000000004</v>
      </c>
      <c r="J654">
        <v>0.78409899999999999</v>
      </c>
      <c r="K654">
        <v>4.1313898000000003E-3</v>
      </c>
      <c r="L654">
        <v>1.0418682300000001E-2</v>
      </c>
      <c r="M654">
        <v>0.95599999999999996</v>
      </c>
      <c r="N654">
        <v>1</v>
      </c>
    </row>
    <row r="655" spans="1:14" x14ac:dyDescent="0.25">
      <c r="A655" t="s">
        <v>143</v>
      </c>
      <c r="B655" t="s">
        <v>358</v>
      </c>
      <c r="C655" t="s">
        <v>14</v>
      </c>
      <c r="D655">
        <v>1</v>
      </c>
      <c r="E655">
        <v>1000</v>
      </c>
      <c r="F655">
        <v>8.6966999999999999</v>
      </c>
      <c r="G655">
        <v>8.6602820000000005</v>
      </c>
      <c r="H655">
        <v>-3.6416518000000002E-2</v>
      </c>
      <c r="I655">
        <v>0.45216099999999998</v>
      </c>
      <c r="J655">
        <v>0.47278799999999999</v>
      </c>
      <c r="K655">
        <v>4.5620515600000001E-2</v>
      </c>
      <c r="L655">
        <v>-4.1873960000000003E-3</v>
      </c>
      <c r="M655">
        <v>0.95499999999999996</v>
      </c>
      <c r="N655">
        <v>1</v>
      </c>
    </row>
    <row r="656" spans="1:14" x14ac:dyDescent="0.25">
      <c r="A656" t="s">
        <v>143</v>
      </c>
      <c r="B656" t="s">
        <v>358</v>
      </c>
      <c r="C656" t="s">
        <v>15</v>
      </c>
      <c r="D656">
        <v>1</v>
      </c>
      <c r="E656">
        <v>1000</v>
      </c>
      <c r="F656">
        <v>-1.6103000000000001</v>
      </c>
      <c r="G656">
        <v>-1.610627</v>
      </c>
      <c r="H656">
        <v>-3.3264200000000002E-4</v>
      </c>
      <c r="I656">
        <v>0.49823899999999999</v>
      </c>
      <c r="J656">
        <v>0.50362399999999996</v>
      </c>
      <c r="K656">
        <v>1.08088557E-2</v>
      </c>
      <c r="L656">
        <v>2.0657219999999999E-4</v>
      </c>
      <c r="M656">
        <v>0.95</v>
      </c>
      <c r="N656">
        <v>0.89100000000000001</v>
      </c>
    </row>
    <row r="657" spans="1:14" x14ac:dyDescent="0.25">
      <c r="A657" t="s">
        <v>143</v>
      </c>
      <c r="B657" t="s">
        <v>358</v>
      </c>
      <c r="C657" t="s">
        <v>16</v>
      </c>
      <c r="D657">
        <v>1</v>
      </c>
      <c r="E657">
        <v>1000</v>
      </c>
      <c r="F657">
        <v>-7.9151999999999996</v>
      </c>
      <c r="G657">
        <v>-7.8785100000000003</v>
      </c>
      <c r="H657">
        <v>3.6665358699999998E-2</v>
      </c>
      <c r="I657">
        <v>0.58111800000000002</v>
      </c>
      <c r="J657">
        <v>0.59365800000000002</v>
      </c>
      <c r="K657">
        <v>2.1579294200000002E-2</v>
      </c>
      <c r="L657">
        <v>-4.6322860000000002E-3</v>
      </c>
      <c r="M657">
        <v>0.95</v>
      </c>
      <c r="N657">
        <v>1</v>
      </c>
    </row>
    <row r="658" spans="1:14" x14ac:dyDescent="0.25">
      <c r="A658" t="s">
        <v>143</v>
      </c>
      <c r="B658" t="s">
        <v>358</v>
      </c>
      <c r="C658" t="s">
        <v>17</v>
      </c>
      <c r="D658">
        <v>1</v>
      </c>
      <c r="E658">
        <v>1000</v>
      </c>
      <c r="F658">
        <v>5.8681000000000001</v>
      </c>
      <c r="G658">
        <v>5.867076</v>
      </c>
      <c r="H658">
        <v>-1.0625739999999999E-3</v>
      </c>
      <c r="I658">
        <v>3.1387999999999999E-2</v>
      </c>
      <c r="J658">
        <v>3.4823E-2</v>
      </c>
      <c r="K658">
        <v>0.1094368466</v>
      </c>
      <c r="L658">
        <v>-1.81075E-4</v>
      </c>
      <c r="M658">
        <v>0.97399999999999998</v>
      </c>
      <c r="N658">
        <v>1</v>
      </c>
    </row>
    <row r="659" spans="1:14" x14ac:dyDescent="0.25">
      <c r="A659" t="s">
        <v>143</v>
      </c>
      <c r="B659" t="s">
        <v>358</v>
      </c>
      <c r="C659" t="s">
        <v>18</v>
      </c>
      <c r="D659">
        <v>1</v>
      </c>
      <c r="E659">
        <v>1000</v>
      </c>
      <c r="F659">
        <v>2.8400000000000002E-2</v>
      </c>
      <c r="G659">
        <v>3.1102999999999999E-2</v>
      </c>
      <c r="H659">
        <v>2.6860391999999999E-3</v>
      </c>
      <c r="I659">
        <v>2.3012999999999999E-2</v>
      </c>
      <c r="J659">
        <v>2.3269000000000001E-2</v>
      </c>
      <c r="K659">
        <v>1.11331134E-2</v>
      </c>
      <c r="L659">
        <v>9.4523847100000002E-2</v>
      </c>
      <c r="M659">
        <v>0.95</v>
      </c>
      <c r="N659">
        <v>0.25900000000000001</v>
      </c>
    </row>
    <row r="660" spans="1:14" x14ac:dyDescent="0.25">
      <c r="A660" t="s">
        <v>143</v>
      </c>
      <c r="B660" t="s">
        <v>359</v>
      </c>
      <c r="C660" t="s">
        <v>12</v>
      </c>
      <c r="D660">
        <v>1</v>
      </c>
      <c r="E660">
        <v>1000</v>
      </c>
      <c r="F660">
        <v>3.1354000000000002</v>
      </c>
      <c r="G660">
        <v>3.0588950000000001</v>
      </c>
      <c r="H660">
        <v>-7.6495590000000002E-2</v>
      </c>
      <c r="I660">
        <v>0.287219</v>
      </c>
      <c r="J660">
        <v>0.267731</v>
      </c>
      <c r="K660">
        <v>-6.7848960999999999E-2</v>
      </c>
      <c r="L660">
        <v>-2.4397464000000001E-2</v>
      </c>
      <c r="M660">
        <v>0.92300000000000004</v>
      </c>
      <c r="N660">
        <v>1</v>
      </c>
    </row>
    <row r="661" spans="1:14" x14ac:dyDescent="0.25">
      <c r="A661" t="s">
        <v>143</v>
      </c>
      <c r="B661" t="s">
        <v>359</v>
      </c>
      <c r="C661" t="s">
        <v>13</v>
      </c>
      <c r="D661">
        <v>1</v>
      </c>
      <c r="E661">
        <v>1000</v>
      </c>
      <c r="F661">
        <v>-0.44119999999999998</v>
      </c>
      <c r="G661">
        <v>-0.43416399999999999</v>
      </c>
      <c r="H661">
        <v>7.0419061999999998E-3</v>
      </c>
      <c r="I661">
        <v>0.112938</v>
      </c>
      <c r="J661">
        <v>0.108402</v>
      </c>
      <c r="K661">
        <v>-4.0162555000000003E-2</v>
      </c>
      <c r="L661">
        <v>-1.5960576000000001E-2</v>
      </c>
      <c r="M661">
        <v>0.94</v>
      </c>
      <c r="N661">
        <v>0.97299999999999998</v>
      </c>
    </row>
    <row r="662" spans="1:14" x14ac:dyDescent="0.25">
      <c r="A662" t="s">
        <v>143</v>
      </c>
      <c r="B662" t="s">
        <v>359</v>
      </c>
      <c r="C662" t="s">
        <v>14</v>
      </c>
      <c r="D662">
        <v>1</v>
      </c>
      <c r="E662">
        <v>1000</v>
      </c>
      <c r="F662">
        <v>-7.3000000000000001E-3</v>
      </c>
      <c r="G662">
        <v>-1.218E-2</v>
      </c>
      <c r="H662">
        <v>-4.8663229999999997E-3</v>
      </c>
      <c r="I662">
        <v>6.3225000000000003E-2</v>
      </c>
      <c r="J662">
        <v>6.4531000000000005E-2</v>
      </c>
      <c r="K662">
        <v>2.0657732500000001E-2</v>
      </c>
      <c r="L662">
        <v>0.665346459</v>
      </c>
      <c r="M662">
        <v>0.96</v>
      </c>
      <c r="N662">
        <v>4.8000000000000001E-2</v>
      </c>
    </row>
    <row r="663" spans="1:14" x14ac:dyDescent="0.25">
      <c r="A663" t="s">
        <v>143</v>
      </c>
      <c r="B663" t="s">
        <v>359</v>
      </c>
      <c r="C663" t="s">
        <v>15</v>
      </c>
      <c r="D663">
        <v>1</v>
      </c>
      <c r="E663">
        <v>1000</v>
      </c>
      <c r="F663">
        <v>-0.45419999999999999</v>
      </c>
      <c r="G663">
        <v>-0.44059799999999999</v>
      </c>
      <c r="H663">
        <v>1.35898163E-2</v>
      </c>
      <c r="I663">
        <v>6.9922999999999999E-2</v>
      </c>
      <c r="J663">
        <v>6.5898999999999999E-2</v>
      </c>
      <c r="K663">
        <v>-5.7546400999999997E-2</v>
      </c>
      <c r="L663">
        <v>-2.9921122000000001E-2</v>
      </c>
      <c r="M663">
        <v>0.93200000000000005</v>
      </c>
      <c r="N663">
        <v>1</v>
      </c>
    </row>
    <row r="664" spans="1:14" x14ac:dyDescent="0.25">
      <c r="A664" t="s">
        <v>143</v>
      </c>
      <c r="B664" t="s">
        <v>359</v>
      </c>
      <c r="C664" t="s">
        <v>16</v>
      </c>
      <c r="D664">
        <v>1</v>
      </c>
      <c r="E664">
        <v>1000</v>
      </c>
      <c r="F664">
        <v>-8.2500000000000004E-2</v>
      </c>
      <c r="G664">
        <v>-9.1608999999999996E-2</v>
      </c>
      <c r="H664">
        <v>-9.0667809999999995E-3</v>
      </c>
      <c r="I664">
        <v>8.5597999999999994E-2</v>
      </c>
      <c r="J664">
        <v>8.5654999999999995E-2</v>
      </c>
      <c r="K664">
        <v>6.6398230000000002E-4</v>
      </c>
      <c r="L664">
        <v>0.1098439074</v>
      </c>
      <c r="M664">
        <v>0.95299999999999996</v>
      </c>
      <c r="N664">
        <v>0.191</v>
      </c>
    </row>
    <row r="665" spans="1:14" x14ac:dyDescent="0.25">
      <c r="A665" t="s">
        <v>143</v>
      </c>
      <c r="B665" t="s">
        <v>359</v>
      </c>
      <c r="C665" t="s">
        <v>17</v>
      </c>
      <c r="D665">
        <v>1</v>
      </c>
      <c r="E665">
        <v>1000</v>
      </c>
      <c r="F665">
        <v>-0.12590000000000001</v>
      </c>
      <c r="G665">
        <v>-0.12548200000000001</v>
      </c>
      <c r="H665">
        <v>4.6456479999999999E-4</v>
      </c>
      <c r="I665">
        <v>6.7149999999999996E-3</v>
      </c>
      <c r="J665">
        <v>6.894E-3</v>
      </c>
      <c r="K665">
        <v>2.6784812200000001E-2</v>
      </c>
      <c r="L665">
        <v>-3.6885939999999999E-3</v>
      </c>
      <c r="M665">
        <v>0.95199999999999996</v>
      </c>
      <c r="N665">
        <v>1</v>
      </c>
    </row>
    <row r="666" spans="1:14" x14ac:dyDescent="0.25">
      <c r="A666" t="s">
        <v>143</v>
      </c>
      <c r="B666" t="s">
        <v>359</v>
      </c>
      <c r="C666" t="s">
        <v>18</v>
      </c>
      <c r="D666">
        <v>1</v>
      </c>
      <c r="E666">
        <v>1000</v>
      </c>
      <c r="F666">
        <v>-6.9999999999999999E-4</v>
      </c>
      <c r="G666">
        <v>-9.6900000000000003E-4</v>
      </c>
      <c r="H666">
        <v>-2.61413E-4</v>
      </c>
      <c r="I666">
        <v>3.5179999999999999E-3</v>
      </c>
      <c r="J666">
        <v>3.418E-3</v>
      </c>
      <c r="K666">
        <v>-2.8182628000000001E-2</v>
      </c>
      <c r="L666">
        <v>0.36937821910000002</v>
      </c>
      <c r="M666">
        <v>0.94299999999999995</v>
      </c>
      <c r="N666">
        <v>6.8000000000000005E-2</v>
      </c>
    </row>
    <row r="667" spans="1:14" x14ac:dyDescent="0.25">
      <c r="A667" t="s">
        <v>143</v>
      </c>
      <c r="B667" t="s">
        <v>360</v>
      </c>
      <c r="C667" t="s">
        <v>12</v>
      </c>
      <c r="D667">
        <v>1</v>
      </c>
      <c r="E667">
        <v>1000</v>
      </c>
      <c r="F667">
        <v>3.1354000000000002</v>
      </c>
      <c r="G667">
        <v>2.9516659999999999</v>
      </c>
      <c r="H667">
        <v>-0.18372508700000001</v>
      </c>
      <c r="I667">
        <v>0.28253200000000001</v>
      </c>
      <c r="J667">
        <v>0.26379900000000001</v>
      </c>
      <c r="K667">
        <v>-6.6303622000000006E-2</v>
      </c>
      <c r="L667">
        <v>-5.8597185000000003E-2</v>
      </c>
      <c r="M667">
        <v>0.875</v>
      </c>
      <c r="N667">
        <v>1</v>
      </c>
    </row>
    <row r="668" spans="1:14" x14ac:dyDescent="0.25">
      <c r="A668" t="s">
        <v>143</v>
      </c>
      <c r="B668" t="s">
        <v>360</v>
      </c>
      <c r="C668" t="s">
        <v>13</v>
      </c>
      <c r="D668">
        <v>1</v>
      </c>
      <c r="E668">
        <v>1000</v>
      </c>
      <c r="F668">
        <v>-0.44119999999999998</v>
      </c>
      <c r="G668">
        <v>-0.36683700000000002</v>
      </c>
      <c r="H668">
        <v>7.4369156500000005E-2</v>
      </c>
      <c r="I668">
        <v>0.113527</v>
      </c>
      <c r="J668">
        <v>0.10763300000000001</v>
      </c>
      <c r="K668">
        <v>-5.1916644999999997E-2</v>
      </c>
      <c r="L668">
        <v>-0.16855870000000001</v>
      </c>
      <c r="M668">
        <v>0.86399999999999999</v>
      </c>
      <c r="N668">
        <v>0.91400000000000003</v>
      </c>
    </row>
    <row r="669" spans="1:14" x14ac:dyDescent="0.25">
      <c r="A669" t="s">
        <v>143</v>
      </c>
      <c r="B669" t="s">
        <v>360</v>
      </c>
      <c r="C669" t="s">
        <v>14</v>
      </c>
      <c r="D669">
        <v>1</v>
      </c>
      <c r="E669">
        <v>1000</v>
      </c>
      <c r="F669">
        <v>-7.3000000000000001E-3</v>
      </c>
      <c r="G669">
        <v>-1.9252999999999999E-2</v>
      </c>
      <c r="H669">
        <v>-1.1938733E-2</v>
      </c>
      <c r="I669">
        <v>6.1316000000000002E-2</v>
      </c>
      <c r="J669">
        <v>6.3297000000000006E-2</v>
      </c>
      <c r="K669">
        <v>3.2315667999999999E-2</v>
      </c>
      <c r="L669">
        <v>1.6323193492000001</v>
      </c>
      <c r="M669">
        <v>0.95499999999999996</v>
      </c>
      <c r="N669">
        <v>5.7000000000000002E-2</v>
      </c>
    </row>
    <row r="670" spans="1:14" x14ac:dyDescent="0.25">
      <c r="A670" t="s">
        <v>143</v>
      </c>
      <c r="B670" t="s">
        <v>360</v>
      </c>
      <c r="C670" t="s">
        <v>15</v>
      </c>
      <c r="D670">
        <v>1</v>
      </c>
      <c r="E670">
        <v>1000</v>
      </c>
      <c r="F670">
        <v>-0.45419999999999999</v>
      </c>
      <c r="G670">
        <v>-0.44378400000000001</v>
      </c>
      <c r="H670">
        <v>1.04041997E-2</v>
      </c>
      <c r="I670">
        <v>6.9591E-2</v>
      </c>
      <c r="J670">
        <v>6.5178E-2</v>
      </c>
      <c r="K670">
        <v>-6.3409475000000007E-2</v>
      </c>
      <c r="L670">
        <v>-2.2907251E-2</v>
      </c>
      <c r="M670">
        <v>0.93500000000000005</v>
      </c>
      <c r="N670">
        <v>1</v>
      </c>
    </row>
    <row r="671" spans="1:14" x14ac:dyDescent="0.25">
      <c r="A671" t="s">
        <v>143</v>
      </c>
      <c r="B671" t="s">
        <v>360</v>
      </c>
      <c r="C671" t="s">
        <v>16</v>
      </c>
      <c r="D671">
        <v>1</v>
      </c>
      <c r="E671">
        <v>1000</v>
      </c>
      <c r="F671">
        <v>-8.2500000000000004E-2</v>
      </c>
      <c r="G671">
        <v>-0.11505899999999999</v>
      </c>
      <c r="H671">
        <v>-3.2516703000000001E-2</v>
      </c>
      <c r="I671">
        <v>8.5402000000000006E-2</v>
      </c>
      <c r="J671">
        <v>8.5084999999999994E-2</v>
      </c>
      <c r="K671">
        <v>-3.70083E-3</v>
      </c>
      <c r="L671">
        <v>0.39393933590000002</v>
      </c>
      <c r="M671">
        <v>0.93200000000000005</v>
      </c>
      <c r="N671">
        <v>0.27300000000000002</v>
      </c>
    </row>
    <row r="672" spans="1:14" x14ac:dyDescent="0.25">
      <c r="A672" t="s">
        <v>143</v>
      </c>
      <c r="B672" t="s">
        <v>360</v>
      </c>
      <c r="C672" t="s">
        <v>17</v>
      </c>
      <c r="D672">
        <v>1</v>
      </c>
      <c r="E672">
        <v>1000</v>
      </c>
      <c r="F672">
        <v>-0.12590000000000001</v>
      </c>
      <c r="G672">
        <v>-0.12609600000000001</v>
      </c>
      <c r="H672">
        <v>-1.4953899999999999E-4</v>
      </c>
      <c r="I672">
        <v>6.6959999999999997E-3</v>
      </c>
      <c r="J672">
        <v>6.7790000000000003E-3</v>
      </c>
      <c r="K672">
        <v>1.24082972E-2</v>
      </c>
      <c r="L672">
        <v>1.1873249000000001E-3</v>
      </c>
      <c r="M672">
        <v>0.95199999999999996</v>
      </c>
      <c r="N672">
        <v>1</v>
      </c>
    </row>
    <row r="673" spans="1:14" x14ac:dyDescent="0.25">
      <c r="A673" t="s">
        <v>143</v>
      </c>
      <c r="B673" t="s">
        <v>360</v>
      </c>
      <c r="C673" t="s">
        <v>18</v>
      </c>
      <c r="D673">
        <v>1</v>
      </c>
      <c r="E673">
        <v>1000</v>
      </c>
      <c r="F673">
        <v>-6.9999999999999999E-4</v>
      </c>
      <c r="G673">
        <v>-5.8E-4</v>
      </c>
      <c r="H673">
        <v>1.2747990000000001E-4</v>
      </c>
      <c r="I673">
        <v>3.4399999999999999E-3</v>
      </c>
      <c r="J673">
        <v>3.3310000000000002E-3</v>
      </c>
      <c r="K673">
        <v>-3.1711906999999998E-2</v>
      </c>
      <c r="L673">
        <v>-0.1801297</v>
      </c>
      <c r="M673">
        <v>0.94699999999999995</v>
      </c>
      <c r="N673">
        <v>6.0999999999999999E-2</v>
      </c>
    </row>
    <row r="674" spans="1:14" x14ac:dyDescent="0.25">
      <c r="A674" t="s">
        <v>143</v>
      </c>
      <c r="B674" t="s">
        <v>361</v>
      </c>
      <c r="C674" t="s">
        <v>12</v>
      </c>
      <c r="D674">
        <v>1</v>
      </c>
      <c r="E674">
        <v>1000</v>
      </c>
      <c r="F674">
        <v>3.1354000000000002</v>
      </c>
      <c r="G674">
        <v>3.144787</v>
      </c>
      <c r="H674">
        <v>9.3957216999999999E-3</v>
      </c>
      <c r="I674">
        <v>0.24965499999999999</v>
      </c>
      <c r="J674">
        <v>0.240505</v>
      </c>
      <c r="K674">
        <v>-3.6650000000000002E-2</v>
      </c>
      <c r="L674">
        <v>2.9966667000000001E-3</v>
      </c>
      <c r="M674">
        <v>0.93899999999999995</v>
      </c>
      <c r="N674">
        <v>1</v>
      </c>
    </row>
    <row r="675" spans="1:14" x14ac:dyDescent="0.25">
      <c r="A675" t="s">
        <v>143</v>
      </c>
      <c r="B675" t="s">
        <v>361</v>
      </c>
      <c r="C675" t="s">
        <v>13</v>
      </c>
      <c r="D675">
        <v>1</v>
      </c>
      <c r="E675">
        <v>1000</v>
      </c>
      <c r="F675">
        <v>-0.44119999999999998</v>
      </c>
      <c r="G675">
        <v>-0.45041700000000001</v>
      </c>
      <c r="H675">
        <v>-9.2110850000000008E-3</v>
      </c>
      <c r="I675">
        <v>9.7388000000000002E-2</v>
      </c>
      <c r="J675">
        <v>9.2283000000000004E-2</v>
      </c>
      <c r="K675">
        <v>-5.2423840999999999E-2</v>
      </c>
      <c r="L675">
        <v>2.0877049799999998E-2</v>
      </c>
      <c r="M675">
        <v>0.94</v>
      </c>
      <c r="N675">
        <v>0.99399999999999999</v>
      </c>
    </row>
    <row r="676" spans="1:14" x14ac:dyDescent="0.25">
      <c r="A676" t="s">
        <v>143</v>
      </c>
      <c r="B676" t="s">
        <v>361</v>
      </c>
      <c r="C676" t="s">
        <v>14</v>
      </c>
      <c r="D676">
        <v>1</v>
      </c>
      <c r="E676">
        <v>1000</v>
      </c>
      <c r="F676">
        <v>-7.3000000000000001E-3</v>
      </c>
      <c r="G676">
        <v>-7.9080000000000001E-3</v>
      </c>
      <c r="H676">
        <v>-5.94233E-4</v>
      </c>
      <c r="I676">
        <v>5.6341000000000002E-2</v>
      </c>
      <c r="J676">
        <v>5.6520000000000001E-2</v>
      </c>
      <c r="K676">
        <v>3.18286E-3</v>
      </c>
      <c r="L676">
        <v>8.1246371100000006E-2</v>
      </c>
      <c r="M676">
        <v>0.95399999999999996</v>
      </c>
      <c r="N676">
        <v>4.8000000000000001E-2</v>
      </c>
    </row>
    <row r="677" spans="1:14" x14ac:dyDescent="0.25">
      <c r="A677" t="s">
        <v>143</v>
      </c>
      <c r="B677" t="s">
        <v>361</v>
      </c>
      <c r="C677" t="s">
        <v>15</v>
      </c>
      <c r="D677">
        <v>1</v>
      </c>
      <c r="E677">
        <v>1000</v>
      </c>
      <c r="F677">
        <v>-0.45419999999999999</v>
      </c>
      <c r="G677">
        <v>-0.44984499999999999</v>
      </c>
      <c r="H677">
        <v>4.3431338999999998E-3</v>
      </c>
      <c r="I677">
        <v>6.1608999999999997E-2</v>
      </c>
      <c r="J677">
        <v>5.8748000000000002E-2</v>
      </c>
      <c r="K677">
        <v>-4.6435732E-2</v>
      </c>
      <c r="L677">
        <v>-9.5624130000000005E-3</v>
      </c>
      <c r="M677">
        <v>0.93700000000000006</v>
      </c>
      <c r="N677">
        <v>1</v>
      </c>
    </row>
    <row r="678" spans="1:14" x14ac:dyDescent="0.25">
      <c r="A678" t="s">
        <v>143</v>
      </c>
      <c r="B678" t="s">
        <v>361</v>
      </c>
      <c r="C678" t="s">
        <v>16</v>
      </c>
      <c r="D678">
        <v>1</v>
      </c>
      <c r="E678">
        <v>1000</v>
      </c>
      <c r="F678">
        <v>-8.2500000000000004E-2</v>
      </c>
      <c r="G678">
        <v>-8.5322999999999996E-2</v>
      </c>
      <c r="H678">
        <v>-2.7804399999999999E-3</v>
      </c>
      <c r="I678">
        <v>7.2197999999999998E-2</v>
      </c>
      <c r="J678">
        <v>7.1469000000000005E-2</v>
      </c>
      <c r="K678">
        <v>-1.0098918E-2</v>
      </c>
      <c r="L678">
        <v>3.3684990200000001E-2</v>
      </c>
      <c r="M678">
        <v>0.95099999999999996</v>
      </c>
      <c r="N678">
        <v>0.23599999999999999</v>
      </c>
    </row>
    <row r="679" spans="1:14" x14ac:dyDescent="0.25">
      <c r="A679" t="s">
        <v>143</v>
      </c>
      <c r="B679" t="s">
        <v>361</v>
      </c>
      <c r="C679" t="s">
        <v>17</v>
      </c>
      <c r="D679">
        <v>1</v>
      </c>
      <c r="E679">
        <v>1000</v>
      </c>
      <c r="F679">
        <v>-0.12590000000000001</v>
      </c>
      <c r="G679">
        <v>-0.12592700000000001</v>
      </c>
      <c r="H679">
        <v>1.9296500000000001E-5</v>
      </c>
      <c r="I679">
        <v>5.7990000000000003E-3</v>
      </c>
      <c r="J679">
        <v>5.7800000000000004E-3</v>
      </c>
      <c r="K679">
        <v>-3.2168169999999999E-3</v>
      </c>
      <c r="L679">
        <v>-1.5321200000000001E-4</v>
      </c>
      <c r="M679">
        <v>0.94899999999999995</v>
      </c>
      <c r="N679">
        <v>1</v>
      </c>
    </row>
    <row r="680" spans="1:14" x14ac:dyDescent="0.25">
      <c r="A680" t="s">
        <v>143</v>
      </c>
      <c r="B680" t="s">
        <v>361</v>
      </c>
      <c r="C680" t="s">
        <v>18</v>
      </c>
      <c r="D680">
        <v>1</v>
      </c>
      <c r="E680">
        <v>1000</v>
      </c>
      <c r="F680">
        <v>-6.9999999999999999E-4</v>
      </c>
      <c r="G680">
        <v>-9.68E-4</v>
      </c>
      <c r="H680">
        <v>-2.6044399999999998E-4</v>
      </c>
      <c r="I680">
        <v>2.9989999999999999E-3</v>
      </c>
      <c r="J680">
        <v>2.9060000000000002E-3</v>
      </c>
      <c r="K680">
        <v>-3.1026291000000001E-2</v>
      </c>
      <c r="L680">
        <v>0.36800887510000002</v>
      </c>
      <c r="M680">
        <v>0.94</v>
      </c>
      <c r="N680">
        <v>6.4000000000000001E-2</v>
      </c>
    </row>
    <row r="681" spans="1:14" x14ac:dyDescent="0.25">
      <c r="A681" t="s">
        <v>143</v>
      </c>
      <c r="B681" t="s">
        <v>362</v>
      </c>
      <c r="C681" t="s">
        <v>12</v>
      </c>
      <c r="D681">
        <v>1</v>
      </c>
      <c r="E681">
        <v>1000</v>
      </c>
      <c r="F681">
        <v>3.1354000000000002</v>
      </c>
      <c r="G681">
        <v>3.144425</v>
      </c>
      <c r="H681">
        <v>9.0339826000000005E-3</v>
      </c>
      <c r="I681">
        <v>0.25224200000000002</v>
      </c>
      <c r="J681">
        <v>0.24263100000000001</v>
      </c>
      <c r="K681">
        <v>-3.8103473999999998E-2</v>
      </c>
      <c r="L681">
        <v>2.8812937999999999E-3</v>
      </c>
      <c r="M681">
        <v>0.94</v>
      </c>
      <c r="N681">
        <v>1</v>
      </c>
    </row>
    <row r="682" spans="1:14" x14ac:dyDescent="0.25">
      <c r="A682" t="s">
        <v>143</v>
      </c>
      <c r="B682" t="s">
        <v>362</v>
      </c>
      <c r="C682" t="s">
        <v>13</v>
      </c>
      <c r="D682">
        <v>1</v>
      </c>
      <c r="E682">
        <v>1000</v>
      </c>
      <c r="F682">
        <v>-0.44119999999999998</v>
      </c>
      <c r="G682">
        <v>-0.449098</v>
      </c>
      <c r="H682">
        <v>-7.8916379999999994E-3</v>
      </c>
      <c r="I682">
        <v>9.8239999999999994E-2</v>
      </c>
      <c r="J682">
        <v>9.3043000000000001E-2</v>
      </c>
      <c r="K682">
        <v>-5.2902019000000002E-2</v>
      </c>
      <c r="L682">
        <v>1.7886503299999999E-2</v>
      </c>
      <c r="M682">
        <v>0.93700000000000006</v>
      </c>
      <c r="N682">
        <v>0.99299999999999999</v>
      </c>
    </row>
    <row r="683" spans="1:14" x14ac:dyDescent="0.25">
      <c r="A683" t="s">
        <v>143</v>
      </c>
      <c r="B683" t="s">
        <v>362</v>
      </c>
      <c r="C683" t="s">
        <v>14</v>
      </c>
      <c r="D683">
        <v>1</v>
      </c>
      <c r="E683">
        <v>1000</v>
      </c>
      <c r="F683">
        <v>-7.3000000000000001E-3</v>
      </c>
      <c r="G683">
        <v>-7.8759999999999993E-3</v>
      </c>
      <c r="H683">
        <v>-5.6161799999999995E-4</v>
      </c>
      <c r="I683">
        <v>5.7085999999999998E-2</v>
      </c>
      <c r="J683">
        <v>5.7023999999999998E-2</v>
      </c>
      <c r="K683">
        <v>-1.0856240000000001E-3</v>
      </c>
      <c r="L683">
        <v>7.6787101999999996E-2</v>
      </c>
      <c r="M683">
        <v>0.95099999999999996</v>
      </c>
      <c r="N683">
        <v>4.9000000000000002E-2</v>
      </c>
    </row>
    <row r="684" spans="1:14" x14ac:dyDescent="0.25">
      <c r="A684" t="s">
        <v>143</v>
      </c>
      <c r="B684" t="s">
        <v>362</v>
      </c>
      <c r="C684" t="s">
        <v>15</v>
      </c>
      <c r="D684">
        <v>1</v>
      </c>
      <c r="E684">
        <v>1000</v>
      </c>
      <c r="F684">
        <v>-0.45419999999999999</v>
      </c>
      <c r="G684">
        <v>-0.45070500000000002</v>
      </c>
      <c r="H684">
        <v>3.4831544000000002E-3</v>
      </c>
      <c r="I684">
        <v>6.2164999999999998E-2</v>
      </c>
      <c r="J684">
        <v>5.9247000000000001E-2</v>
      </c>
      <c r="K684">
        <v>-4.6938415999999997E-2</v>
      </c>
      <c r="L684">
        <v>-7.6689699999999998E-3</v>
      </c>
      <c r="M684">
        <v>0.94099999999999995</v>
      </c>
      <c r="N684">
        <v>1</v>
      </c>
    </row>
    <row r="685" spans="1:14" x14ac:dyDescent="0.25">
      <c r="A685" t="s">
        <v>143</v>
      </c>
      <c r="B685" t="s">
        <v>362</v>
      </c>
      <c r="C685" t="s">
        <v>16</v>
      </c>
      <c r="D685">
        <v>1</v>
      </c>
      <c r="E685">
        <v>1000</v>
      </c>
      <c r="F685">
        <v>-8.2500000000000004E-2</v>
      </c>
      <c r="G685">
        <v>-8.5691000000000003E-2</v>
      </c>
      <c r="H685">
        <v>-3.1484030000000001E-3</v>
      </c>
      <c r="I685">
        <v>7.2530999999999998E-2</v>
      </c>
      <c r="J685">
        <v>7.2067999999999993E-2</v>
      </c>
      <c r="K685">
        <v>-6.3830240000000002E-3</v>
      </c>
      <c r="L685">
        <v>3.81428475E-2</v>
      </c>
      <c r="M685">
        <v>0.95299999999999996</v>
      </c>
      <c r="N685">
        <v>0.22700000000000001</v>
      </c>
    </row>
    <row r="686" spans="1:14" x14ac:dyDescent="0.25">
      <c r="A686" t="s">
        <v>143</v>
      </c>
      <c r="B686" t="s">
        <v>362</v>
      </c>
      <c r="C686" t="s">
        <v>17</v>
      </c>
      <c r="D686">
        <v>1</v>
      </c>
      <c r="E686">
        <v>1000</v>
      </c>
      <c r="F686">
        <v>-0.12590000000000001</v>
      </c>
      <c r="G686">
        <v>-0.125942</v>
      </c>
      <c r="H686" s="4">
        <v>4.3941472000000001E-6</v>
      </c>
      <c r="I686">
        <v>5.914E-3</v>
      </c>
      <c r="J686">
        <v>5.8450000000000004E-3</v>
      </c>
      <c r="K686">
        <v>-1.1756765000000001E-2</v>
      </c>
      <c r="L686">
        <v>-3.4888999999999997E-5</v>
      </c>
      <c r="M686">
        <v>0.95299999999999996</v>
      </c>
      <c r="N686">
        <v>1</v>
      </c>
    </row>
    <row r="687" spans="1:14" x14ac:dyDescent="0.25">
      <c r="A687" t="s">
        <v>143</v>
      </c>
      <c r="B687" t="s">
        <v>362</v>
      </c>
      <c r="C687" t="s">
        <v>18</v>
      </c>
      <c r="D687">
        <v>1</v>
      </c>
      <c r="E687">
        <v>1000</v>
      </c>
      <c r="F687">
        <v>-6.9999999999999999E-4</v>
      </c>
      <c r="G687">
        <v>-9.5200000000000005E-4</v>
      </c>
      <c r="H687">
        <v>-2.44412E-4</v>
      </c>
      <c r="I687">
        <v>3.045E-3</v>
      </c>
      <c r="J687">
        <v>2.9320000000000001E-3</v>
      </c>
      <c r="K687">
        <v>-3.7237818999999998E-2</v>
      </c>
      <c r="L687">
        <v>0.34535495659999998</v>
      </c>
      <c r="M687">
        <v>0.94099999999999995</v>
      </c>
      <c r="N687">
        <v>7.4999999999999997E-2</v>
      </c>
    </row>
    <row r="688" spans="1:14" x14ac:dyDescent="0.25">
      <c r="A688" t="s">
        <v>143</v>
      </c>
      <c r="B688" t="s">
        <v>631</v>
      </c>
      <c r="C688" t="s">
        <v>12</v>
      </c>
      <c r="D688">
        <v>1</v>
      </c>
      <c r="E688">
        <v>960</v>
      </c>
      <c r="F688">
        <v>107.0774</v>
      </c>
      <c r="G688">
        <v>107.168993</v>
      </c>
      <c r="H688">
        <v>9.1584839599999995E-2</v>
      </c>
      <c r="I688">
        <v>2.0152209999999999</v>
      </c>
      <c r="J688">
        <v>2.0181469999999999</v>
      </c>
      <c r="K688">
        <v>1.4515134999999999E-3</v>
      </c>
      <c r="L688">
        <v>8.5531430000000002E-4</v>
      </c>
      <c r="M688">
        <v>0.95</v>
      </c>
      <c r="N688">
        <v>1</v>
      </c>
    </row>
    <row r="689" spans="1:14" x14ac:dyDescent="0.25">
      <c r="A689" t="s">
        <v>143</v>
      </c>
      <c r="B689" t="s">
        <v>631</v>
      </c>
      <c r="C689" t="s">
        <v>13</v>
      </c>
      <c r="D689">
        <v>1</v>
      </c>
      <c r="E689">
        <v>960</v>
      </c>
      <c r="F689">
        <v>-4.7686000000000002</v>
      </c>
      <c r="G689">
        <v>-4.8324559999999996</v>
      </c>
      <c r="H689">
        <v>-6.3814488000000003E-2</v>
      </c>
      <c r="I689">
        <v>0.79541499999999998</v>
      </c>
      <c r="J689">
        <v>0.77774399999999999</v>
      </c>
      <c r="K689">
        <v>-2.2216565000000001E-2</v>
      </c>
      <c r="L689">
        <v>1.33821101E-2</v>
      </c>
      <c r="M689">
        <v>0.93958333329999999</v>
      </c>
      <c r="N689">
        <v>1</v>
      </c>
    </row>
    <row r="690" spans="1:14" x14ac:dyDescent="0.25">
      <c r="A690" t="s">
        <v>143</v>
      </c>
      <c r="B690" t="s">
        <v>631</v>
      </c>
      <c r="C690" t="s">
        <v>14</v>
      </c>
      <c r="D690">
        <v>1</v>
      </c>
      <c r="E690">
        <v>960</v>
      </c>
      <c r="F690">
        <v>8.6966999999999999</v>
      </c>
      <c r="G690">
        <v>8.6608269999999994</v>
      </c>
      <c r="H690">
        <v>-3.5871198E-2</v>
      </c>
      <c r="I690">
        <v>0.46065499999999998</v>
      </c>
      <c r="J690">
        <v>0.46814099999999997</v>
      </c>
      <c r="K690">
        <v>1.6251514799999998E-2</v>
      </c>
      <c r="L690">
        <v>-4.1246909999999998E-3</v>
      </c>
      <c r="M690">
        <v>0.95833333330000003</v>
      </c>
      <c r="N690">
        <v>1</v>
      </c>
    </row>
    <row r="691" spans="1:14" x14ac:dyDescent="0.25">
      <c r="A691" t="s">
        <v>143</v>
      </c>
      <c r="B691" t="s">
        <v>631</v>
      </c>
      <c r="C691" t="s">
        <v>15</v>
      </c>
      <c r="D691">
        <v>1</v>
      </c>
      <c r="E691">
        <v>960</v>
      </c>
      <c r="F691">
        <v>-1.6103000000000001</v>
      </c>
      <c r="G691">
        <v>-1.606946</v>
      </c>
      <c r="H691">
        <v>3.3483342000000002E-3</v>
      </c>
      <c r="I691">
        <v>0.50178100000000003</v>
      </c>
      <c r="J691">
        <v>0.50012299999999998</v>
      </c>
      <c r="K691">
        <v>-3.3050290000000001E-3</v>
      </c>
      <c r="L691">
        <v>-2.0793299999999999E-3</v>
      </c>
      <c r="M691">
        <v>0.94791666669999997</v>
      </c>
      <c r="N691">
        <v>0.89895833329999997</v>
      </c>
    </row>
    <row r="692" spans="1:14" x14ac:dyDescent="0.25">
      <c r="A692" t="s">
        <v>143</v>
      </c>
      <c r="B692" t="s">
        <v>631</v>
      </c>
      <c r="C692" t="s">
        <v>16</v>
      </c>
      <c r="D692">
        <v>1</v>
      </c>
      <c r="E692">
        <v>960</v>
      </c>
      <c r="F692">
        <v>-7.9151999999999996</v>
      </c>
      <c r="G692">
        <v>-7.8857150000000003</v>
      </c>
      <c r="H692">
        <v>2.9461027300000001E-2</v>
      </c>
      <c r="I692">
        <v>0.57469899999999996</v>
      </c>
      <c r="J692">
        <v>0.58732099999999998</v>
      </c>
      <c r="K692">
        <v>2.1961857500000001E-2</v>
      </c>
      <c r="L692">
        <v>-3.722094E-3</v>
      </c>
      <c r="M692">
        <v>0.95937499999999998</v>
      </c>
      <c r="N692">
        <v>1</v>
      </c>
    </row>
    <row r="693" spans="1:14" x14ac:dyDescent="0.25">
      <c r="A693" t="s">
        <v>143</v>
      </c>
      <c r="B693" t="s">
        <v>631</v>
      </c>
      <c r="C693" t="s">
        <v>17</v>
      </c>
      <c r="D693">
        <v>1</v>
      </c>
      <c r="E693">
        <v>960</v>
      </c>
      <c r="F693">
        <v>5.8681000000000001</v>
      </c>
      <c r="G693">
        <v>5.8681429999999999</v>
      </c>
      <c r="H693" s="4">
        <v>3.7586690999999998E-6</v>
      </c>
      <c r="I693">
        <v>3.3464000000000001E-2</v>
      </c>
      <c r="J693">
        <v>3.4611000000000003E-2</v>
      </c>
      <c r="K693">
        <v>3.4256279100000002E-2</v>
      </c>
      <c r="L693" s="4">
        <v>6.4052148999999997E-7</v>
      </c>
      <c r="M693">
        <v>0.95520833329999999</v>
      </c>
      <c r="N693">
        <v>1</v>
      </c>
    </row>
    <row r="694" spans="1:14" x14ac:dyDescent="0.25">
      <c r="A694" t="s">
        <v>143</v>
      </c>
      <c r="B694" t="s">
        <v>631</v>
      </c>
      <c r="C694" t="s">
        <v>18</v>
      </c>
      <c r="D694">
        <v>1</v>
      </c>
      <c r="E694">
        <v>960</v>
      </c>
      <c r="F694">
        <v>2.8400000000000002E-2</v>
      </c>
      <c r="G694">
        <v>3.0495000000000001E-2</v>
      </c>
      <c r="H694">
        <v>2.0782168999999998E-3</v>
      </c>
      <c r="I694">
        <v>2.3599999999999999E-2</v>
      </c>
      <c r="J694">
        <v>2.3052E-2</v>
      </c>
      <c r="K694">
        <v>-2.3207933E-2</v>
      </c>
      <c r="L694">
        <v>7.3134098100000003E-2</v>
      </c>
      <c r="M694">
        <v>0.94791666669999997</v>
      </c>
      <c r="N694">
        <v>0.28749999999999998</v>
      </c>
    </row>
    <row r="695" spans="1:14" x14ac:dyDescent="0.25">
      <c r="A695" t="s">
        <v>143</v>
      </c>
      <c r="B695" t="s">
        <v>633</v>
      </c>
      <c r="C695" t="s">
        <v>12</v>
      </c>
      <c r="D695">
        <v>1</v>
      </c>
      <c r="E695">
        <v>894</v>
      </c>
      <c r="F695">
        <v>3.1354000000000002</v>
      </c>
      <c r="G695">
        <v>3.1463380000000001</v>
      </c>
      <c r="H695">
        <v>1.09469502E-2</v>
      </c>
      <c r="I695">
        <v>0.25076799999999999</v>
      </c>
      <c r="J695">
        <v>0.24068800000000001</v>
      </c>
      <c r="K695">
        <v>-4.0198315999999998E-2</v>
      </c>
      <c r="L695">
        <v>3.4914147000000002E-3</v>
      </c>
      <c r="M695">
        <v>0.93959731540000002</v>
      </c>
      <c r="N695">
        <v>1</v>
      </c>
    </row>
    <row r="696" spans="1:14" x14ac:dyDescent="0.25">
      <c r="A696" t="s">
        <v>143</v>
      </c>
      <c r="B696" t="s">
        <v>633</v>
      </c>
      <c r="C696" t="s">
        <v>13</v>
      </c>
      <c r="D696">
        <v>1</v>
      </c>
      <c r="E696">
        <v>894</v>
      </c>
      <c r="F696">
        <v>-0.44119999999999998</v>
      </c>
      <c r="G696">
        <v>-0.44830999999999999</v>
      </c>
      <c r="H696">
        <v>-7.1033099999999998E-3</v>
      </c>
      <c r="I696">
        <v>9.7798999999999997E-2</v>
      </c>
      <c r="J696">
        <v>9.2397999999999994E-2</v>
      </c>
      <c r="K696">
        <v>-5.5222997000000003E-2</v>
      </c>
      <c r="L696">
        <v>1.6099747899999999E-2</v>
      </c>
      <c r="M696">
        <v>0.9362416107</v>
      </c>
      <c r="N696">
        <v>0.99328859059999997</v>
      </c>
    </row>
    <row r="697" spans="1:14" x14ac:dyDescent="0.25">
      <c r="A697" t="s">
        <v>143</v>
      </c>
      <c r="B697" t="s">
        <v>633</v>
      </c>
      <c r="C697" t="s">
        <v>14</v>
      </c>
      <c r="D697">
        <v>1</v>
      </c>
      <c r="E697">
        <v>894</v>
      </c>
      <c r="F697">
        <v>-7.3000000000000001E-3</v>
      </c>
      <c r="G697">
        <v>-8.3979999999999992E-3</v>
      </c>
      <c r="H697">
        <v>-1.0842289999999999E-3</v>
      </c>
      <c r="I697">
        <v>5.5668000000000002E-2</v>
      </c>
      <c r="J697">
        <v>5.6573999999999999E-2</v>
      </c>
      <c r="K697">
        <v>1.6273972000000001E-2</v>
      </c>
      <c r="L697">
        <v>0.1482408717</v>
      </c>
      <c r="M697">
        <v>0.9563758389</v>
      </c>
      <c r="N697">
        <v>4.6979865799999999E-2</v>
      </c>
    </row>
    <row r="698" spans="1:14" x14ac:dyDescent="0.25">
      <c r="A698" t="s">
        <v>143</v>
      </c>
      <c r="B698" t="s">
        <v>633</v>
      </c>
      <c r="C698" t="s">
        <v>15</v>
      </c>
      <c r="D698">
        <v>1</v>
      </c>
      <c r="E698">
        <v>894</v>
      </c>
      <c r="F698">
        <v>-0.45419999999999999</v>
      </c>
      <c r="G698">
        <v>-0.45122600000000002</v>
      </c>
      <c r="H698">
        <v>2.9621182999999998E-3</v>
      </c>
      <c r="I698">
        <v>6.1524000000000002E-2</v>
      </c>
      <c r="J698">
        <v>5.8804000000000002E-2</v>
      </c>
      <c r="K698">
        <v>-4.4217733000000002E-2</v>
      </c>
      <c r="L698">
        <v>-6.5217879999999997E-3</v>
      </c>
      <c r="M698">
        <v>0.93736017900000002</v>
      </c>
      <c r="N698">
        <v>1</v>
      </c>
    </row>
    <row r="699" spans="1:14" x14ac:dyDescent="0.25">
      <c r="A699" t="s">
        <v>143</v>
      </c>
      <c r="B699" t="s">
        <v>633</v>
      </c>
      <c r="C699" t="s">
        <v>16</v>
      </c>
      <c r="D699">
        <v>1</v>
      </c>
      <c r="E699">
        <v>894</v>
      </c>
      <c r="F699">
        <v>-8.2500000000000004E-2</v>
      </c>
      <c r="G699">
        <v>-8.3864999999999995E-2</v>
      </c>
      <c r="H699">
        <v>-1.3227670000000001E-3</v>
      </c>
      <c r="I699">
        <v>7.2968000000000005E-2</v>
      </c>
      <c r="J699">
        <v>7.1572999999999998E-2</v>
      </c>
      <c r="K699">
        <v>-1.9122041999999999E-2</v>
      </c>
      <c r="L699">
        <v>1.60252985E-2</v>
      </c>
      <c r="M699">
        <v>0.94966442949999996</v>
      </c>
      <c r="N699">
        <v>0.2337807606</v>
      </c>
    </row>
    <row r="700" spans="1:14" x14ac:dyDescent="0.25">
      <c r="A700" t="s">
        <v>143</v>
      </c>
      <c r="B700" t="s">
        <v>633</v>
      </c>
      <c r="C700" t="s">
        <v>17</v>
      </c>
      <c r="D700">
        <v>1</v>
      </c>
      <c r="E700">
        <v>894</v>
      </c>
      <c r="F700">
        <v>-0.12590000000000001</v>
      </c>
      <c r="G700">
        <v>-0.12587200000000001</v>
      </c>
      <c r="H700">
        <v>7.4325099999999998E-5</v>
      </c>
      <c r="I700">
        <v>5.8430000000000001E-3</v>
      </c>
      <c r="J700">
        <v>5.7910000000000001E-3</v>
      </c>
      <c r="K700">
        <v>-8.9574819999999993E-3</v>
      </c>
      <c r="L700">
        <v>-5.9013399999999997E-4</v>
      </c>
      <c r="M700">
        <v>0.95078299779999997</v>
      </c>
      <c r="N700">
        <v>1</v>
      </c>
    </row>
    <row r="701" spans="1:14" x14ac:dyDescent="0.25">
      <c r="A701" t="s">
        <v>143</v>
      </c>
      <c r="B701" t="s">
        <v>633</v>
      </c>
      <c r="C701" t="s">
        <v>18</v>
      </c>
      <c r="D701">
        <v>1</v>
      </c>
      <c r="E701">
        <v>894</v>
      </c>
      <c r="F701">
        <v>-6.9999999999999999E-4</v>
      </c>
      <c r="G701">
        <v>-9.7199999999999999E-4</v>
      </c>
      <c r="H701">
        <v>-2.6439600000000002E-4</v>
      </c>
      <c r="I701">
        <v>3.0460000000000001E-3</v>
      </c>
      <c r="J701">
        <v>2.9069999999999999E-3</v>
      </c>
      <c r="K701">
        <v>-4.5624357999999997E-2</v>
      </c>
      <c r="L701">
        <v>0.37359274469999998</v>
      </c>
      <c r="M701">
        <v>0.9362416107</v>
      </c>
      <c r="N701">
        <v>6.5995525700000002E-2</v>
      </c>
    </row>
    <row r="702" spans="1:14" x14ac:dyDescent="0.25">
      <c r="A702" t="s">
        <v>143</v>
      </c>
      <c r="B702" t="s">
        <v>172</v>
      </c>
      <c r="C702" t="s">
        <v>12</v>
      </c>
      <c r="D702">
        <v>1</v>
      </c>
      <c r="E702">
        <v>1000</v>
      </c>
      <c r="F702">
        <v>107.0774</v>
      </c>
      <c r="G702">
        <v>107.33550099999999</v>
      </c>
      <c r="H702">
        <v>0.25809255479999998</v>
      </c>
      <c r="I702">
        <v>1.6973940000000001</v>
      </c>
      <c r="J702">
        <v>1.8607499999999999</v>
      </c>
      <c r="K702">
        <v>9.6239580800000002E-2</v>
      </c>
      <c r="L702">
        <v>2.4103362E-3</v>
      </c>
      <c r="M702">
        <v>0.96499999999999997</v>
      </c>
      <c r="N702">
        <v>0</v>
      </c>
    </row>
    <row r="703" spans="1:14" x14ac:dyDescent="0.25">
      <c r="A703" t="s">
        <v>143</v>
      </c>
      <c r="B703" t="s">
        <v>172</v>
      </c>
      <c r="C703" t="s">
        <v>13</v>
      </c>
      <c r="D703">
        <v>1</v>
      </c>
      <c r="E703">
        <v>1000</v>
      </c>
      <c r="F703">
        <v>-4.7686000000000002</v>
      </c>
      <c r="G703">
        <v>-5.0000140000000002</v>
      </c>
      <c r="H703">
        <v>-0.23137212900000001</v>
      </c>
      <c r="I703">
        <v>0.68112700000000004</v>
      </c>
      <c r="J703">
        <v>0.73923399999999995</v>
      </c>
      <c r="K703">
        <v>8.5310035199999995E-2</v>
      </c>
      <c r="L703">
        <v>4.8519504099999999E-2</v>
      </c>
      <c r="M703">
        <v>0.95399999999999996</v>
      </c>
      <c r="N703">
        <v>0</v>
      </c>
    </row>
    <row r="704" spans="1:14" x14ac:dyDescent="0.25">
      <c r="A704" t="s">
        <v>143</v>
      </c>
      <c r="B704" t="s">
        <v>172</v>
      </c>
      <c r="C704" t="s">
        <v>14</v>
      </c>
      <c r="D704">
        <v>1</v>
      </c>
      <c r="E704">
        <v>1000</v>
      </c>
      <c r="F704">
        <v>8.6966999999999999</v>
      </c>
      <c r="G704">
        <v>10.572397</v>
      </c>
      <c r="H704">
        <v>1.8756978301</v>
      </c>
      <c r="I704">
        <v>0.39163399999999998</v>
      </c>
      <c r="J704">
        <v>0.409742</v>
      </c>
      <c r="K704">
        <v>4.62386163E-2</v>
      </c>
      <c r="L704">
        <v>0.2156792941</v>
      </c>
      <c r="M704">
        <v>4.0000000000000001E-3</v>
      </c>
      <c r="N704">
        <v>0</v>
      </c>
    </row>
    <row r="705" spans="1:14" x14ac:dyDescent="0.25">
      <c r="A705" t="s">
        <v>143</v>
      </c>
      <c r="B705" t="s">
        <v>172</v>
      </c>
      <c r="C705" t="s">
        <v>15</v>
      </c>
      <c r="D705">
        <v>1</v>
      </c>
      <c r="E705">
        <v>1000</v>
      </c>
      <c r="F705">
        <v>-1.6103000000000001</v>
      </c>
      <c r="G705">
        <v>-1.3536809999999999</v>
      </c>
      <c r="H705">
        <v>0.25661311590000002</v>
      </c>
      <c r="I705">
        <v>0.436249</v>
      </c>
      <c r="J705">
        <v>0.46544200000000002</v>
      </c>
      <c r="K705">
        <v>6.6920030699999994E-2</v>
      </c>
      <c r="L705">
        <v>-0.15935787300000001</v>
      </c>
      <c r="M705">
        <v>0.93100000000000005</v>
      </c>
      <c r="N705">
        <v>0</v>
      </c>
    </row>
    <row r="706" spans="1:14" x14ac:dyDescent="0.25">
      <c r="A706" t="s">
        <v>143</v>
      </c>
      <c r="B706" t="s">
        <v>172</v>
      </c>
      <c r="C706" t="s">
        <v>16</v>
      </c>
      <c r="D706">
        <v>1</v>
      </c>
      <c r="E706">
        <v>1000</v>
      </c>
      <c r="F706">
        <v>-7.9151999999999996</v>
      </c>
      <c r="G706">
        <v>-9.4146389999999993</v>
      </c>
      <c r="H706">
        <v>-1.499463024</v>
      </c>
      <c r="I706">
        <v>0.44110100000000002</v>
      </c>
      <c r="J706">
        <v>0.481159</v>
      </c>
      <c r="K706">
        <v>9.0812975099999999E-2</v>
      </c>
      <c r="L706">
        <v>0.1894415351</v>
      </c>
      <c r="M706">
        <v>0.123</v>
      </c>
      <c r="N706">
        <v>0</v>
      </c>
    </row>
    <row r="707" spans="1:14" x14ac:dyDescent="0.25">
      <c r="A707" t="s">
        <v>143</v>
      </c>
      <c r="B707" t="s">
        <v>172</v>
      </c>
      <c r="C707" t="s">
        <v>17</v>
      </c>
      <c r="D707">
        <v>1</v>
      </c>
      <c r="E707">
        <v>1000</v>
      </c>
      <c r="F707">
        <v>5.8681000000000001</v>
      </c>
      <c r="G707">
        <v>5.8287570000000004</v>
      </c>
      <c r="H707">
        <v>-3.9382201999999998E-2</v>
      </c>
      <c r="I707">
        <v>3.3069000000000001E-2</v>
      </c>
      <c r="J707">
        <v>3.6788000000000001E-2</v>
      </c>
      <c r="K707">
        <v>0.1124562579</v>
      </c>
      <c r="L707">
        <v>-6.711191E-3</v>
      </c>
      <c r="M707">
        <v>0.83199999999999996</v>
      </c>
      <c r="N707">
        <v>0</v>
      </c>
    </row>
    <row r="708" spans="1:14" x14ac:dyDescent="0.25">
      <c r="A708" t="s">
        <v>143</v>
      </c>
      <c r="B708" t="s">
        <v>172</v>
      </c>
      <c r="C708" t="s">
        <v>18</v>
      </c>
      <c r="D708">
        <v>1</v>
      </c>
      <c r="E708">
        <v>1000</v>
      </c>
      <c r="F708">
        <v>2.8400000000000002E-2</v>
      </c>
      <c r="G708">
        <v>1.65E-4</v>
      </c>
      <c r="H708">
        <v>-2.8251627000000001E-2</v>
      </c>
      <c r="I708">
        <v>2.6287000000000001E-2</v>
      </c>
      <c r="J708">
        <v>3.0129E-2</v>
      </c>
      <c r="K708">
        <v>0.1461236497</v>
      </c>
      <c r="L708">
        <v>-0.99419712400000004</v>
      </c>
      <c r="M708">
        <v>0.91400000000000003</v>
      </c>
      <c r="N708">
        <v>0</v>
      </c>
    </row>
    <row r="709" spans="1:14" x14ac:dyDescent="0.25">
      <c r="A709" t="s">
        <v>143</v>
      </c>
      <c r="B709" t="s">
        <v>173</v>
      </c>
      <c r="C709" t="s">
        <v>12</v>
      </c>
      <c r="D709">
        <v>1</v>
      </c>
      <c r="E709">
        <v>1000</v>
      </c>
      <c r="F709">
        <v>107.0774</v>
      </c>
      <c r="G709">
        <v>105.92166400000001</v>
      </c>
      <c r="H709">
        <v>-1.1557446440000001</v>
      </c>
      <c r="I709">
        <v>1.5583089999999999</v>
      </c>
      <c r="J709">
        <v>1.6273519999999999</v>
      </c>
      <c r="K709">
        <v>4.4306517599999998E-2</v>
      </c>
      <c r="L709">
        <v>-1.0793542999999999E-2</v>
      </c>
      <c r="M709">
        <v>0.90600000000000003</v>
      </c>
      <c r="N709">
        <v>0</v>
      </c>
    </row>
    <row r="710" spans="1:14" x14ac:dyDescent="0.25">
      <c r="A710" t="s">
        <v>143</v>
      </c>
      <c r="B710" t="s">
        <v>173</v>
      </c>
      <c r="C710" t="s">
        <v>13</v>
      </c>
      <c r="D710">
        <v>1</v>
      </c>
      <c r="E710">
        <v>1000</v>
      </c>
      <c r="F710">
        <v>-4.7686000000000002</v>
      </c>
      <c r="G710">
        <v>-4.1647959999999999</v>
      </c>
      <c r="H710">
        <v>0.60384615200000002</v>
      </c>
      <c r="I710">
        <v>0.591526</v>
      </c>
      <c r="J710">
        <v>0.62644</v>
      </c>
      <c r="K710">
        <v>5.9024045400000003E-2</v>
      </c>
      <c r="L710">
        <v>-0.12662854400000001</v>
      </c>
      <c r="M710">
        <v>0.86199999999999999</v>
      </c>
      <c r="N710">
        <v>0</v>
      </c>
    </row>
    <row r="711" spans="1:14" x14ac:dyDescent="0.25">
      <c r="A711" t="s">
        <v>143</v>
      </c>
      <c r="B711" t="s">
        <v>173</v>
      </c>
      <c r="C711" t="s">
        <v>14</v>
      </c>
      <c r="D711">
        <v>1</v>
      </c>
      <c r="E711">
        <v>1000</v>
      </c>
      <c r="F711">
        <v>8.6966999999999999</v>
      </c>
      <c r="G711">
        <v>10.730376</v>
      </c>
      <c r="H711">
        <v>2.0336774573</v>
      </c>
      <c r="I711">
        <v>0.364813</v>
      </c>
      <c r="J711">
        <v>0.36187900000000001</v>
      </c>
      <c r="K711">
        <v>-8.0411949999999992E-3</v>
      </c>
      <c r="L711">
        <v>0.23384476509999999</v>
      </c>
      <c r="M711">
        <v>0</v>
      </c>
      <c r="N711">
        <v>0</v>
      </c>
    </row>
    <row r="712" spans="1:14" x14ac:dyDescent="0.25">
      <c r="A712" t="s">
        <v>143</v>
      </c>
      <c r="B712" t="s">
        <v>173</v>
      </c>
      <c r="C712" t="s">
        <v>15</v>
      </c>
      <c r="D712">
        <v>1</v>
      </c>
      <c r="E712">
        <v>1000</v>
      </c>
      <c r="F712">
        <v>-1.6103000000000001</v>
      </c>
      <c r="G712">
        <v>-1.483649</v>
      </c>
      <c r="H712">
        <v>0.12664571999999999</v>
      </c>
      <c r="I712">
        <v>0.38270999999999999</v>
      </c>
      <c r="J712">
        <v>0.39591700000000002</v>
      </c>
      <c r="K712">
        <v>3.4510005000000003E-2</v>
      </c>
      <c r="L712">
        <v>-7.8647548999999997E-2</v>
      </c>
      <c r="M712">
        <v>0.94399999999999995</v>
      </c>
      <c r="N712">
        <v>0</v>
      </c>
    </row>
    <row r="713" spans="1:14" x14ac:dyDescent="0.25">
      <c r="A713" t="s">
        <v>143</v>
      </c>
      <c r="B713" t="s">
        <v>173</v>
      </c>
      <c r="C713" t="s">
        <v>16</v>
      </c>
      <c r="D713">
        <v>1</v>
      </c>
      <c r="E713">
        <v>1000</v>
      </c>
      <c r="F713">
        <v>-7.9151999999999996</v>
      </c>
      <c r="G713">
        <v>-9.7128409999999992</v>
      </c>
      <c r="H713">
        <v>-1.7976655239999999</v>
      </c>
      <c r="I713">
        <v>0.41716199999999998</v>
      </c>
      <c r="J713">
        <v>0.43060599999999999</v>
      </c>
      <c r="K713">
        <v>3.2227715099999998E-2</v>
      </c>
      <c r="L713">
        <v>0.22711631509999999</v>
      </c>
      <c r="M713">
        <v>1.4999999999999999E-2</v>
      </c>
      <c r="N713">
        <v>0</v>
      </c>
    </row>
    <row r="714" spans="1:14" x14ac:dyDescent="0.25">
      <c r="A714" t="s">
        <v>143</v>
      </c>
      <c r="B714" t="s">
        <v>173</v>
      </c>
      <c r="C714" t="s">
        <v>17</v>
      </c>
      <c r="D714">
        <v>1</v>
      </c>
      <c r="E714">
        <v>1000</v>
      </c>
      <c r="F714">
        <v>5.8681000000000001</v>
      </c>
      <c r="G714">
        <v>5.7896720000000004</v>
      </c>
      <c r="H714">
        <v>-7.8467185999999994E-2</v>
      </c>
      <c r="I714">
        <v>2.9162E-2</v>
      </c>
      <c r="J714">
        <v>3.0915999999999999E-2</v>
      </c>
      <c r="K714">
        <v>6.0135608200000003E-2</v>
      </c>
      <c r="L714">
        <v>-1.3371733E-2</v>
      </c>
      <c r="M714">
        <v>0.29599999999999999</v>
      </c>
      <c r="N714">
        <v>0</v>
      </c>
    </row>
    <row r="715" spans="1:14" x14ac:dyDescent="0.25">
      <c r="A715" t="s">
        <v>143</v>
      </c>
      <c r="B715" t="s">
        <v>173</v>
      </c>
      <c r="C715" t="s">
        <v>18</v>
      </c>
      <c r="D715">
        <v>1</v>
      </c>
      <c r="E715">
        <v>1000</v>
      </c>
      <c r="F715">
        <v>2.8400000000000002E-2</v>
      </c>
      <c r="G715">
        <v>2.4070000000000001E-2</v>
      </c>
      <c r="H715">
        <v>-4.3463410000000001E-3</v>
      </c>
      <c r="I715">
        <v>1.8568000000000001E-2</v>
      </c>
      <c r="J715">
        <v>2.1632999999999999E-2</v>
      </c>
      <c r="K715">
        <v>0.16501622399999999</v>
      </c>
      <c r="L715">
        <v>-0.152951169</v>
      </c>
      <c r="M715">
        <v>0.96499999999999997</v>
      </c>
      <c r="N715">
        <v>0</v>
      </c>
    </row>
    <row r="716" spans="1:14" x14ac:dyDescent="0.25">
      <c r="A716" t="s">
        <v>143</v>
      </c>
      <c r="B716" t="s">
        <v>363</v>
      </c>
      <c r="C716" t="s">
        <v>12</v>
      </c>
      <c r="D716">
        <v>1</v>
      </c>
      <c r="E716">
        <v>1000</v>
      </c>
      <c r="F716">
        <v>107.0774</v>
      </c>
      <c r="G716">
        <v>104.008786</v>
      </c>
      <c r="H716">
        <v>-3.0686224449999999</v>
      </c>
      <c r="I716">
        <v>1.3736109999999999</v>
      </c>
      <c r="J716">
        <v>1.461338</v>
      </c>
      <c r="K716">
        <v>6.3865703100000004E-2</v>
      </c>
      <c r="L716">
        <v>-2.8657981999999999E-2</v>
      </c>
      <c r="M716">
        <v>0.45500000000000002</v>
      </c>
      <c r="N716">
        <v>0</v>
      </c>
    </row>
    <row r="717" spans="1:14" x14ac:dyDescent="0.25">
      <c r="A717" t="s">
        <v>143</v>
      </c>
      <c r="B717" t="s">
        <v>363</v>
      </c>
      <c r="C717" t="s">
        <v>13</v>
      </c>
      <c r="D717">
        <v>1</v>
      </c>
      <c r="E717">
        <v>1000</v>
      </c>
      <c r="F717">
        <v>-4.7686000000000002</v>
      </c>
      <c r="G717">
        <v>-4.8235640000000002</v>
      </c>
      <c r="H717">
        <v>-5.4922033000000002E-2</v>
      </c>
      <c r="I717">
        <v>0.52173400000000003</v>
      </c>
      <c r="J717">
        <v>0.55669100000000005</v>
      </c>
      <c r="K717">
        <v>6.7002298299999999E-2</v>
      </c>
      <c r="L717">
        <v>1.15173328E-2</v>
      </c>
      <c r="M717">
        <v>0.96699999999999997</v>
      </c>
      <c r="N717">
        <v>0</v>
      </c>
    </row>
    <row r="718" spans="1:14" x14ac:dyDescent="0.25">
      <c r="A718" t="s">
        <v>143</v>
      </c>
      <c r="B718" t="s">
        <v>363</v>
      </c>
      <c r="C718" t="s">
        <v>14</v>
      </c>
      <c r="D718">
        <v>1</v>
      </c>
      <c r="E718">
        <v>1000</v>
      </c>
      <c r="F718">
        <v>8.6966999999999999</v>
      </c>
      <c r="G718">
        <v>10.655161</v>
      </c>
      <c r="H718">
        <v>1.9584625303000001</v>
      </c>
      <c r="I718">
        <v>0.33167600000000003</v>
      </c>
      <c r="J718">
        <v>0.32644099999999998</v>
      </c>
      <c r="K718">
        <v>-1.5783464000000001E-2</v>
      </c>
      <c r="L718">
        <v>0.22519608930000001</v>
      </c>
      <c r="M718">
        <v>0</v>
      </c>
      <c r="N718">
        <v>0</v>
      </c>
    </row>
    <row r="719" spans="1:14" x14ac:dyDescent="0.25">
      <c r="A719" t="s">
        <v>143</v>
      </c>
      <c r="B719" t="s">
        <v>363</v>
      </c>
      <c r="C719" t="s">
        <v>15</v>
      </c>
      <c r="D719">
        <v>1</v>
      </c>
      <c r="E719">
        <v>1000</v>
      </c>
      <c r="F719">
        <v>-1.6103000000000001</v>
      </c>
      <c r="G719">
        <v>-1.024181</v>
      </c>
      <c r="H719">
        <v>0.58611357269999997</v>
      </c>
      <c r="I719">
        <v>0.332424</v>
      </c>
      <c r="J719">
        <v>0.35381099999999999</v>
      </c>
      <c r="K719">
        <v>6.4338376399999994E-2</v>
      </c>
      <c r="L719">
        <v>-0.36397910500000002</v>
      </c>
      <c r="M719">
        <v>0.626</v>
      </c>
      <c r="N719">
        <v>0</v>
      </c>
    </row>
    <row r="720" spans="1:14" x14ac:dyDescent="0.25">
      <c r="A720" t="s">
        <v>143</v>
      </c>
      <c r="B720" t="s">
        <v>363</v>
      </c>
      <c r="C720" t="s">
        <v>16</v>
      </c>
      <c r="D720">
        <v>1</v>
      </c>
      <c r="E720">
        <v>1000</v>
      </c>
      <c r="F720">
        <v>-7.9151999999999996</v>
      </c>
      <c r="G720">
        <v>-9.6268019999999996</v>
      </c>
      <c r="H720">
        <v>-1.7116266170000001</v>
      </c>
      <c r="I720">
        <v>0.38893</v>
      </c>
      <c r="J720">
        <v>0.398038</v>
      </c>
      <c r="K720">
        <v>2.3417907799999998E-2</v>
      </c>
      <c r="L720">
        <v>0.2162461953</v>
      </c>
      <c r="M720">
        <v>8.0000000000000002E-3</v>
      </c>
      <c r="N720">
        <v>0</v>
      </c>
    </row>
    <row r="721" spans="1:14" x14ac:dyDescent="0.25">
      <c r="A721" t="s">
        <v>143</v>
      </c>
      <c r="B721" t="s">
        <v>363</v>
      </c>
      <c r="C721" t="s">
        <v>17</v>
      </c>
      <c r="D721">
        <v>1</v>
      </c>
      <c r="E721">
        <v>1000</v>
      </c>
      <c r="F721">
        <v>5.8681000000000001</v>
      </c>
      <c r="G721">
        <v>5.7925810000000002</v>
      </c>
      <c r="H721">
        <v>-7.5558160999999999E-2</v>
      </c>
      <c r="I721">
        <v>2.6415000000000001E-2</v>
      </c>
      <c r="J721">
        <v>2.7498999999999999E-2</v>
      </c>
      <c r="K721">
        <v>4.1023805699999999E-2</v>
      </c>
      <c r="L721">
        <v>-1.2876E-2</v>
      </c>
      <c r="M721">
        <v>0.23599999999999999</v>
      </c>
      <c r="N721">
        <v>0</v>
      </c>
    </row>
    <row r="722" spans="1:14" x14ac:dyDescent="0.25">
      <c r="A722" t="s">
        <v>143</v>
      </c>
      <c r="B722" t="s">
        <v>363</v>
      </c>
      <c r="C722" t="s">
        <v>18</v>
      </c>
      <c r="D722">
        <v>1</v>
      </c>
      <c r="E722">
        <v>1000</v>
      </c>
      <c r="F722">
        <v>2.8400000000000002E-2</v>
      </c>
      <c r="G722">
        <v>2.521E-2</v>
      </c>
      <c r="H722">
        <v>-3.2069289999999999E-3</v>
      </c>
      <c r="I722">
        <v>1.6829E-2</v>
      </c>
      <c r="J722">
        <v>1.8624000000000002E-2</v>
      </c>
      <c r="K722">
        <v>0.1066440605</v>
      </c>
      <c r="L722">
        <v>-0.112854364</v>
      </c>
      <c r="M722">
        <v>0.96899999999999997</v>
      </c>
      <c r="N722">
        <v>0</v>
      </c>
    </row>
    <row r="723" spans="1:14" x14ac:dyDescent="0.25">
      <c r="A723" t="s">
        <v>143</v>
      </c>
      <c r="B723" t="s">
        <v>364</v>
      </c>
      <c r="C723" t="s">
        <v>12</v>
      </c>
      <c r="D723">
        <v>1</v>
      </c>
      <c r="E723">
        <v>1000</v>
      </c>
      <c r="F723">
        <v>107.0774</v>
      </c>
      <c r="G723">
        <v>103.998683</v>
      </c>
      <c r="H723">
        <v>-3.0787252349999998</v>
      </c>
      <c r="I723">
        <v>1.382768</v>
      </c>
      <c r="J723">
        <v>1.461554</v>
      </c>
      <c r="K723">
        <v>5.6977674300000003E-2</v>
      </c>
      <c r="L723">
        <v>-2.8752331999999999E-2</v>
      </c>
      <c r="M723">
        <v>0.44900000000000001</v>
      </c>
      <c r="N723">
        <v>0</v>
      </c>
    </row>
    <row r="724" spans="1:14" x14ac:dyDescent="0.25">
      <c r="A724" t="s">
        <v>143</v>
      </c>
      <c r="B724" t="s">
        <v>364</v>
      </c>
      <c r="C724" t="s">
        <v>13</v>
      </c>
      <c r="D724">
        <v>1</v>
      </c>
      <c r="E724">
        <v>1000</v>
      </c>
      <c r="F724">
        <v>-4.7686000000000002</v>
      </c>
      <c r="G724">
        <v>-4.7939920000000003</v>
      </c>
      <c r="H724">
        <v>-2.5350386999999999E-2</v>
      </c>
      <c r="I724">
        <v>0.524088</v>
      </c>
      <c r="J724">
        <v>0.556029</v>
      </c>
      <c r="K724">
        <v>6.0946456000000003E-2</v>
      </c>
      <c r="L724">
        <v>5.3160604000000002E-3</v>
      </c>
      <c r="M724">
        <v>0.96899999999999997</v>
      </c>
      <c r="N724">
        <v>0</v>
      </c>
    </row>
    <row r="725" spans="1:14" x14ac:dyDescent="0.25">
      <c r="A725" t="s">
        <v>143</v>
      </c>
      <c r="B725" t="s">
        <v>364</v>
      </c>
      <c r="C725" t="s">
        <v>14</v>
      </c>
      <c r="D725">
        <v>1</v>
      </c>
      <c r="E725">
        <v>1000</v>
      </c>
      <c r="F725">
        <v>8.6966999999999999</v>
      </c>
      <c r="G725">
        <v>10.728254</v>
      </c>
      <c r="H725">
        <v>2.031555397</v>
      </c>
      <c r="I725">
        <v>0.33349600000000001</v>
      </c>
      <c r="J725">
        <v>0.32613199999999998</v>
      </c>
      <c r="K725">
        <v>-2.2081993000000001E-2</v>
      </c>
      <c r="L725">
        <v>0.23360075750000001</v>
      </c>
      <c r="M725">
        <v>0</v>
      </c>
      <c r="N725">
        <v>0</v>
      </c>
    </row>
    <row r="726" spans="1:14" x14ac:dyDescent="0.25">
      <c r="A726" t="s">
        <v>143</v>
      </c>
      <c r="B726" t="s">
        <v>364</v>
      </c>
      <c r="C726" t="s">
        <v>15</v>
      </c>
      <c r="D726">
        <v>1</v>
      </c>
      <c r="E726">
        <v>1000</v>
      </c>
      <c r="F726">
        <v>-1.6103000000000001</v>
      </c>
      <c r="G726">
        <v>-1.0228630000000001</v>
      </c>
      <c r="H726">
        <v>0.58743191819999996</v>
      </c>
      <c r="I726">
        <v>0.33232200000000001</v>
      </c>
      <c r="J726">
        <v>0.35222100000000001</v>
      </c>
      <c r="K726">
        <v>5.9878516399999998E-2</v>
      </c>
      <c r="L726">
        <v>-0.364797804</v>
      </c>
      <c r="M726">
        <v>0.626</v>
      </c>
      <c r="N726">
        <v>0</v>
      </c>
    </row>
    <row r="727" spans="1:14" x14ac:dyDescent="0.25">
      <c r="A727" t="s">
        <v>143</v>
      </c>
      <c r="B727" t="s">
        <v>364</v>
      </c>
      <c r="C727" t="s">
        <v>16</v>
      </c>
      <c r="D727">
        <v>1</v>
      </c>
      <c r="E727">
        <v>1000</v>
      </c>
      <c r="F727">
        <v>-7.9151999999999996</v>
      </c>
      <c r="G727">
        <v>-9.6878320000000002</v>
      </c>
      <c r="H727">
        <v>-1.7726559719999999</v>
      </c>
      <c r="I727">
        <v>0.380859</v>
      </c>
      <c r="J727">
        <v>0.39783400000000002</v>
      </c>
      <c r="K727">
        <v>4.45690189E-2</v>
      </c>
      <c r="L727">
        <v>0.2239566187</v>
      </c>
      <c r="M727">
        <v>4.0000000000000001E-3</v>
      </c>
      <c r="N727">
        <v>0</v>
      </c>
    </row>
    <row r="728" spans="1:14" x14ac:dyDescent="0.25">
      <c r="A728" t="s">
        <v>143</v>
      </c>
      <c r="B728" t="s">
        <v>364</v>
      </c>
      <c r="C728" t="s">
        <v>17</v>
      </c>
      <c r="D728">
        <v>1</v>
      </c>
      <c r="E728">
        <v>1000</v>
      </c>
      <c r="F728">
        <v>5.8681000000000001</v>
      </c>
      <c r="G728">
        <v>5.7863759999999997</v>
      </c>
      <c r="H728">
        <v>-8.1763129000000004E-2</v>
      </c>
      <c r="I728">
        <v>2.6435E-2</v>
      </c>
      <c r="J728">
        <v>2.7793999999999999E-2</v>
      </c>
      <c r="K728">
        <v>5.1409681399999997E-2</v>
      </c>
      <c r="L728">
        <v>-1.39334E-2</v>
      </c>
      <c r="M728">
        <v>0.186</v>
      </c>
      <c r="N728">
        <v>0</v>
      </c>
    </row>
    <row r="729" spans="1:14" x14ac:dyDescent="0.25">
      <c r="A729" t="s">
        <v>143</v>
      </c>
      <c r="B729" t="s">
        <v>364</v>
      </c>
      <c r="C729" t="s">
        <v>18</v>
      </c>
      <c r="D729">
        <v>1</v>
      </c>
      <c r="E729">
        <v>1000</v>
      </c>
      <c r="F729">
        <v>2.8400000000000002E-2</v>
      </c>
      <c r="G729">
        <v>2.4631E-2</v>
      </c>
      <c r="H729">
        <v>-3.7856560000000001E-3</v>
      </c>
      <c r="I729">
        <v>1.6725E-2</v>
      </c>
      <c r="J729">
        <v>1.8468999999999999E-2</v>
      </c>
      <c r="K729">
        <v>0.10430632889999999</v>
      </c>
      <c r="L729">
        <v>-0.13322023199999999</v>
      </c>
      <c r="M729">
        <v>0.97</v>
      </c>
      <c r="N729">
        <v>0</v>
      </c>
    </row>
    <row r="730" spans="1:14" x14ac:dyDescent="0.25">
      <c r="A730" t="s">
        <v>143</v>
      </c>
      <c r="B730" t="s">
        <v>365</v>
      </c>
      <c r="C730" t="s">
        <v>12</v>
      </c>
      <c r="D730">
        <v>1</v>
      </c>
      <c r="E730">
        <v>1000</v>
      </c>
      <c r="F730">
        <v>3.1354000000000002</v>
      </c>
      <c r="G730">
        <v>3.3673060000000001</v>
      </c>
      <c r="H730">
        <v>0.23191547539999999</v>
      </c>
      <c r="I730">
        <v>0.27139000000000002</v>
      </c>
      <c r="J730">
        <v>0.27073399999999997</v>
      </c>
      <c r="K730">
        <v>-2.4169410000000001E-3</v>
      </c>
      <c r="L730">
        <v>7.3967002500000004E-2</v>
      </c>
      <c r="M730">
        <v>0.88500000000000001</v>
      </c>
      <c r="N730">
        <v>0</v>
      </c>
    </row>
    <row r="731" spans="1:14" x14ac:dyDescent="0.25">
      <c r="A731" t="s">
        <v>143</v>
      </c>
      <c r="B731" t="s">
        <v>365</v>
      </c>
      <c r="C731" t="s">
        <v>13</v>
      </c>
      <c r="D731">
        <v>1</v>
      </c>
      <c r="E731">
        <v>1000</v>
      </c>
      <c r="F731">
        <v>-0.44119999999999998</v>
      </c>
      <c r="G731">
        <v>-0.65343899999999999</v>
      </c>
      <c r="H731">
        <v>-0.212232684</v>
      </c>
      <c r="I731">
        <v>9.2954999999999996E-2</v>
      </c>
      <c r="J731">
        <v>9.5856999999999998E-2</v>
      </c>
      <c r="K731">
        <v>3.1222744600000001E-2</v>
      </c>
      <c r="L731">
        <v>0.48102825119999998</v>
      </c>
      <c r="M731">
        <v>0.47399999999999998</v>
      </c>
      <c r="N731">
        <v>0</v>
      </c>
    </row>
    <row r="732" spans="1:14" x14ac:dyDescent="0.25">
      <c r="A732" t="s">
        <v>143</v>
      </c>
      <c r="B732" t="s">
        <v>365</v>
      </c>
      <c r="C732" t="s">
        <v>14</v>
      </c>
      <c r="D732">
        <v>1</v>
      </c>
      <c r="E732">
        <v>1000</v>
      </c>
      <c r="F732">
        <v>-7.3000000000000001E-3</v>
      </c>
      <c r="G732">
        <v>2.6589999999999999E-3</v>
      </c>
      <c r="H732">
        <v>9.9724897E-3</v>
      </c>
      <c r="I732">
        <v>4.2452999999999998E-2</v>
      </c>
      <c r="J732">
        <v>5.2137000000000003E-2</v>
      </c>
      <c r="K732">
        <v>0.22810275869999999</v>
      </c>
      <c r="L732">
        <v>-1.36348537</v>
      </c>
      <c r="M732">
        <v>0.97799999999999998</v>
      </c>
      <c r="N732">
        <v>0</v>
      </c>
    </row>
    <row r="733" spans="1:14" x14ac:dyDescent="0.25">
      <c r="A733" t="s">
        <v>143</v>
      </c>
      <c r="B733" t="s">
        <v>365</v>
      </c>
      <c r="C733" t="s">
        <v>15</v>
      </c>
      <c r="D733">
        <v>1</v>
      </c>
      <c r="E733">
        <v>1000</v>
      </c>
      <c r="F733">
        <v>-0.45419999999999999</v>
      </c>
      <c r="G733">
        <v>-0.38601099999999999</v>
      </c>
      <c r="H733">
        <v>6.8177130700000005E-2</v>
      </c>
      <c r="I733">
        <v>5.0224999999999999E-2</v>
      </c>
      <c r="J733">
        <v>5.5810999999999999E-2</v>
      </c>
      <c r="K733">
        <v>0.1112240006</v>
      </c>
      <c r="L733">
        <v>-0.150107714</v>
      </c>
      <c r="M733">
        <v>0.80900000000000005</v>
      </c>
      <c r="N733">
        <v>0</v>
      </c>
    </row>
    <row r="734" spans="1:14" x14ac:dyDescent="0.25">
      <c r="A734" t="s">
        <v>143</v>
      </c>
      <c r="B734" t="s">
        <v>365</v>
      </c>
      <c r="C734" t="s">
        <v>16</v>
      </c>
      <c r="D734">
        <v>1</v>
      </c>
      <c r="E734">
        <v>1000</v>
      </c>
      <c r="F734">
        <v>-8.2500000000000004E-2</v>
      </c>
      <c r="G734">
        <v>-2.7049E-2</v>
      </c>
      <c r="H734">
        <v>5.54931725E-2</v>
      </c>
      <c r="I734">
        <v>5.4951E-2</v>
      </c>
      <c r="J734">
        <v>6.2767000000000003E-2</v>
      </c>
      <c r="K734">
        <v>0.1422507284</v>
      </c>
      <c r="L734">
        <v>-0.67229888699999996</v>
      </c>
      <c r="M734">
        <v>0.88600000000000001</v>
      </c>
      <c r="N734">
        <v>0</v>
      </c>
    </row>
    <row r="735" spans="1:14" x14ac:dyDescent="0.25">
      <c r="A735" t="s">
        <v>143</v>
      </c>
      <c r="B735" t="s">
        <v>365</v>
      </c>
      <c r="C735" t="s">
        <v>17</v>
      </c>
      <c r="D735">
        <v>1</v>
      </c>
      <c r="E735">
        <v>1000</v>
      </c>
      <c r="F735">
        <v>-0.12590000000000001</v>
      </c>
      <c r="G735">
        <v>-0.14551600000000001</v>
      </c>
      <c r="H735">
        <v>-1.9569374E-2</v>
      </c>
      <c r="I735">
        <v>7.9699999999999997E-3</v>
      </c>
      <c r="J735">
        <v>7.4009999999999996E-3</v>
      </c>
      <c r="K735">
        <v>-7.1332066E-2</v>
      </c>
      <c r="L735">
        <v>0.15537872580000001</v>
      </c>
      <c r="M735">
        <v>0.34</v>
      </c>
      <c r="N735">
        <v>0</v>
      </c>
    </row>
    <row r="736" spans="1:14" x14ac:dyDescent="0.25">
      <c r="A736" t="s">
        <v>143</v>
      </c>
      <c r="B736" t="s">
        <v>365</v>
      </c>
      <c r="C736" t="s">
        <v>18</v>
      </c>
      <c r="D736">
        <v>1</v>
      </c>
      <c r="E736">
        <v>1000</v>
      </c>
      <c r="F736">
        <v>-6.9999999999999999E-4</v>
      </c>
      <c r="G736">
        <v>-5.0140000000000002E-3</v>
      </c>
      <c r="H736">
        <v>-4.3062830000000002E-3</v>
      </c>
      <c r="I736">
        <v>4.3020000000000003E-3</v>
      </c>
      <c r="J736">
        <v>4.4149999999999997E-3</v>
      </c>
      <c r="K736">
        <v>2.6258572300000001E-2</v>
      </c>
      <c r="L736">
        <v>6.0847996938</v>
      </c>
      <c r="M736">
        <v>0.84599999999999997</v>
      </c>
      <c r="N736">
        <v>0</v>
      </c>
    </row>
    <row r="737" spans="1:14" x14ac:dyDescent="0.25">
      <c r="A737" t="s">
        <v>143</v>
      </c>
      <c r="B737" t="s">
        <v>366</v>
      </c>
      <c r="C737" t="s">
        <v>12</v>
      </c>
      <c r="D737">
        <v>1</v>
      </c>
      <c r="E737">
        <v>1000</v>
      </c>
      <c r="F737">
        <v>3.1354000000000002</v>
      </c>
      <c r="G737">
        <v>3.060127</v>
      </c>
      <c r="H737">
        <v>-7.5264310000000001E-2</v>
      </c>
      <c r="I737">
        <v>0.22586800000000001</v>
      </c>
      <c r="J737">
        <v>0.236036</v>
      </c>
      <c r="K737">
        <v>4.5016746900000001E-2</v>
      </c>
      <c r="L737">
        <v>-2.400476E-2</v>
      </c>
      <c r="M737">
        <v>0.95</v>
      </c>
      <c r="N737">
        <v>0</v>
      </c>
    </row>
    <row r="738" spans="1:14" x14ac:dyDescent="0.25">
      <c r="A738" t="s">
        <v>143</v>
      </c>
      <c r="B738" t="s">
        <v>366</v>
      </c>
      <c r="C738" t="s">
        <v>13</v>
      </c>
      <c r="D738">
        <v>1</v>
      </c>
      <c r="E738">
        <v>1000</v>
      </c>
      <c r="F738">
        <v>-0.44119999999999998</v>
      </c>
      <c r="G738">
        <v>-0.31519000000000003</v>
      </c>
      <c r="H738">
        <v>0.1260163416</v>
      </c>
      <c r="I738">
        <v>9.1066999999999995E-2</v>
      </c>
      <c r="J738">
        <v>9.0317999999999996E-2</v>
      </c>
      <c r="K738">
        <v>-8.2237339999999999E-3</v>
      </c>
      <c r="L738">
        <v>-0.28561774400000001</v>
      </c>
      <c r="M738">
        <v>0.72899999999999998</v>
      </c>
      <c r="N738">
        <v>0</v>
      </c>
    </row>
    <row r="739" spans="1:14" x14ac:dyDescent="0.25">
      <c r="A739" t="s">
        <v>143</v>
      </c>
      <c r="B739" t="s">
        <v>366</v>
      </c>
      <c r="C739" t="s">
        <v>14</v>
      </c>
      <c r="D739">
        <v>1</v>
      </c>
      <c r="E739">
        <v>1000</v>
      </c>
      <c r="F739">
        <v>-7.3000000000000001E-3</v>
      </c>
      <c r="G739">
        <v>-2.6046E-2</v>
      </c>
      <c r="H739">
        <v>-1.8732428999999998E-2</v>
      </c>
      <c r="I739">
        <v>4.0030000000000003E-2</v>
      </c>
      <c r="J739">
        <v>4.9264000000000002E-2</v>
      </c>
      <c r="K739">
        <v>0.23065719970000001</v>
      </c>
      <c r="L739">
        <v>2.5611851364999998</v>
      </c>
      <c r="M739">
        <v>0.97299999999999998</v>
      </c>
      <c r="N739">
        <v>0</v>
      </c>
    </row>
    <row r="740" spans="1:14" x14ac:dyDescent="0.25">
      <c r="A740" t="s">
        <v>143</v>
      </c>
      <c r="B740" t="s">
        <v>366</v>
      </c>
      <c r="C740" t="s">
        <v>15</v>
      </c>
      <c r="D740">
        <v>1</v>
      </c>
      <c r="E740">
        <v>1000</v>
      </c>
      <c r="F740">
        <v>-0.45419999999999999</v>
      </c>
      <c r="G740">
        <v>-0.48439900000000002</v>
      </c>
      <c r="H740">
        <v>-3.0211115E-2</v>
      </c>
      <c r="I740">
        <v>5.2652999999999998E-2</v>
      </c>
      <c r="J740">
        <v>5.5393999999999999E-2</v>
      </c>
      <c r="K740">
        <v>5.2058883E-2</v>
      </c>
      <c r="L740">
        <v>6.6516754100000006E-2</v>
      </c>
      <c r="M740">
        <v>0.92600000000000005</v>
      </c>
      <c r="N740">
        <v>0</v>
      </c>
    </row>
    <row r="741" spans="1:14" x14ac:dyDescent="0.25">
      <c r="A741" t="s">
        <v>143</v>
      </c>
      <c r="B741" t="s">
        <v>366</v>
      </c>
      <c r="C741" t="s">
        <v>16</v>
      </c>
      <c r="D741">
        <v>1</v>
      </c>
      <c r="E741">
        <v>1000</v>
      </c>
      <c r="F741">
        <v>-8.2500000000000004E-2</v>
      </c>
      <c r="G741">
        <v>-8.2131999999999997E-2</v>
      </c>
      <c r="H741">
        <v>4.1014449999999999E-4</v>
      </c>
      <c r="I741">
        <v>5.2262999999999997E-2</v>
      </c>
      <c r="J741">
        <v>6.1023000000000001E-2</v>
      </c>
      <c r="K741">
        <v>0.1676023817</v>
      </c>
      <c r="L741">
        <v>-4.9688939999999997E-3</v>
      </c>
      <c r="M741">
        <v>0.97299999999999998</v>
      </c>
      <c r="N741">
        <v>0</v>
      </c>
    </row>
    <row r="742" spans="1:14" x14ac:dyDescent="0.25">
      <c r="A742" t="s">
        <v>143</v>
      </c>
      <c r="B742" t="s">
        <v>366</v>
      </c>
      <c r="C742" t="s">
        <v>17</v>
      </c>
      <c r="D742">
        <v>1</v>
      </c>
      <c r="E742">
        <v>1000</v>
      </c>
      <c r="F742">
        <v>-0.12590000000000001</v>
      </c>
      <c r="G742">
        <v>-0.129861</v>
      </c>
      <c r="H742">
        <v>-3.9149780000000004E-3</v>
      </c>
      <c r="I742">
        <v>5.8110000000000002E-3</v>
      </c>
      <c r="J742">
        <v>5.9420000000000002E-3</v>
      </c>
      <c r="K742">
        <v>2.2496492E-2</v>
      </c>
      <c r="L742">
        <v>3.10845015E-2</v>
      </c>
      <c r="M742">
        <v>0.89500000000000002</v>
      </c>
      <c r="N742">
        <v>0</v>
      </c>
    </row>
    <row r="743" spans="1:14" x14ac:dyDescent="0.25">
      <c r="A743" t="s">
        <v>143</v>
      </c>
      <c r="B743" t="s">
        <v>366</v>
      </c>
      <c r="C743" t="s">
        <v>18</v>
      </c>
      <c r="D743">
        <v>1</v>
      </c>
      <c r="E743">
        <v>1000</v>
      </c>
      <c r="F743">
        <v>-6.9999999999999999E-4</v>
      </c>
      <c r="G743">
        <v>1.0610000000000001E-3</v>
      </c>
      <c r="H743">
        <v>1.7691670999999999E-3</v>
      </c>
      <c r="I743">
        <v>2.941E-3</v>
      </c>
      <c r="J743">
        <v>3.0720000000000001E-3</v>
      </c>
      <c r="K743">
        <v>4.4703639400000002E-2</v>
      </c>
      <c r="L743">
        <v>-2.499842106</v>
      </c>
      <c r="M743">
        <v>0.94099999999999995</v>
      </c>
      <c r="N743">
        <v>0</v>
      </c>
    </row>
    <row r="744" spans="1:14" x14ac:dyDescent="0.25">
      <c r="A744" t="s">
        <v>143</v>
      </c>
      <c r="B744" t="s">
        <v>367</v>
      </c>
      <c r="C744" t="s">
        <v>12</v>
      </c>
      <c r="D744">
        <v>1</v>
      </c>
      <c r="E744">
        <v>1000</v>
      </c>
      <c r="F744">
        <v>3.1354000000000002</v>
      </c>
      <c r="G744">
        <v>3.2193019999999999</v>
      </c>
      <c r="H744">
        <v>8.3910925600000005E-2</v>
      </c>
      <c r="I744">
        <v>0.19766500000000001</v>
      </c>
      <c r="J744">
        <v>0.20230300000000001</v>
      </c>
      <c r="K744">
        <v>2.3465198499999999E-2</v>
      </c>
      <c r="L744">
        <v>2.6762507500000001E-2</v>
      </c>
      <c r="M744">
        <v>0.93500000000000005</v>
      </c>
      <c r="N744">
        <v>0</v>
      </c>
    </row>
    <row r="745" spans="1:14" x14ac:dyDescent="0.25">
      <c r="A745" t="s">
        <v>143</v>
      </c>
      <c r="B745" t="s">
        <v>367</v>
      </c>
      <c r="C745" t="s">
        <v>13</v>
      </c>
      <c r="D745">
        <v>1</v>
      </c>
      <c r="E745">
        <v>1000</v>
      </c>
      <c r="F745">
        <v>-0.44119999999999998</v>
      </c>
      <c r="G745">
        <v>-0.469972</v>
      </c>
      <c r="H745">
        <v>-2.8765717E-2</v>
      </c>
      <c r="I745">
        <v>7.2525999999999993E-2</v>
      </c>
      <c r="J745">
        <v>7.3565000000000005E-2</v>
      </c>
      <c r="K745">
        <v>1.4315092999999999E-2</v>
      </c>
      <c r="L745">
        <v>6.5197887100000004E-2</v>
      </c>
      <c r="M745">
        <v>0.93600000000000005</v>
      </c>
      <c r="N745">
        <v>0</v>
      </c>
    </row>
    <row r="746" spans="1:14" x14ac:dyDescent="0.25">
      <c r="A746" t="s">
        <v>143</v>
      </c>
      <c r="B746" t="s">
        <v>367</v>
      </c>
      <c r="C746" t="s">
        <v>14</v>
      </c>
      <c r="D746">
        <v>1</v>
      </c>
      <c r="E746">
        <v>1000</v>
      </c>
      <c r="F746">
        <v>-7.3000000000000001E-3</v>
      </c>
      <c r="G746">
        <v>-1.5195999999999999E-2</v>
      </c>
      <c r="H746">
        <v>-7.8818199999999995E-3</v>
      </c>
      <c r="I746">
        <v>3.8025000000000003E-2</v>
      </c>
      <c r="J746">
        <v>4.4096999999999997E-2</v>
      </c>
      <c r="K746">
        <v>0.15968362080000001</v>
      </c>
      <c r="L746">
        <v>1.0776392228</v>
      </c>
      <c r="M746">
        <v>0.97499999999999998</v>
      </c>
      <c r="N746">
        <v>0</v>
      </c>
    </row>
    <row r="747" spans="1:14" x14ac:dyDescent="0.25">
      <c r="A747" t="s">
        <v>143</v>
      </c>
      <c r="B747" t="s">
        <v>367</v>
      </c>
      <c r="C747" t="s">
        <v>15</v>
      </c>
      <c r="D747">
        <v>1</v>
      </c>
      <c r="E747">
        <v>1000</v>
      </c>
      <c r="F747">
        <v>-0.45419999999999999</v>
      </c>
      <c r="G747">
        <v>-0.47839799999999999</v>
      </c>
      <c r="H747">
        <v>-2.4210004E-2</v>
      </c>
      <c r="I747">
        <v>4.8411000000000003E-2</v>
      </c>
      <c r="J747">
        <v>4.8596E-2</v>
      </c>
      <c r="K747">
        <v>3.8126709000000001E-3</v>
      </c>
      <c r="L747">
        <v>5.3303921400000003E-2</v>
      </c>
      <c r="M747">
        <v>0.91800000000000004</v>
      </c>
      <c r="N747">
        <v>0</v>
      </c>
    </row>
    <row r="748" spans="1:14" x14ac:dyDescent="0.25">
      <c r="A748" t="s">
        <v>143</v>
      </c>
      <c r="B748" t="s">
        <v>367</v>
      </c>
      <c r="C748" t="s">
        <v>16</v>
      </c>
      <c r="D748">
        <v>1</v>
      </c>
      <c r="E748">
        <v>1000</v>
      </c>
      <c r="F748">
        <v>-8.2500000000000004E-2</v>
      </c>
      <c r="G748">
        <v>-6.5894999999999995E-2</v>
      </c>
      <c r="H748">
        <v>1.6647420100000001E-2</v>
      </c>
      <c r="I748">
        <v>5.0471000000000002E-2</v>
      </c>
      <c r="J748">
        <v>5.4779000000000001E-2</v>
      </c>
      <c r="K748">
        <v>8.5348312400000001E-2</v>
      </c>
      <c r="L748">
        <v>-0.20168322599999999</v>
      </c>
      <c r="M748">
        <v>0.95099999999999996</v>
      </c>
      <c r="N748">
        <v>0</v>
      </c>
    </row>
    <row r="749" spans="1:14" x14ac:dyDescent="0.25">
      <c r="A749" t="s">
        <v>143</v>
      </c>
      <c r="B749" t="s">
        <v>367</v>
      </c>
      <c r="C749" t="s">
        <v>17</v>
      </c>
      <c r="D749">
        <v>1</v>
      </c>
      <c r="E749">
        <v>1000</v>
      </c>
      <c r="F749">
        <v>-0.12590000000000001</v>
      </c>
      <c r="G749">
        <v>-0.128057</v>
      </c>
      <c r="H749">
        <v>-2.1110320000000001E-3</v>
      </c>
      <c r="I749">
        <v>4.875E-3</v>
      </c>
      <c r="J749">
        <v>4.9810000000000002E-3</v>
      </c>
      <c r="K749">
        <v>2.17208848E-2</v>
      </c>
      <c r="L749">
        <v>1.6761368700000001E-2</v>
      </c>
      <c r="M749">
        <v>0.94499999999999995</v>
      </c>
      <c r="N749">
        <v>0</v>
      </c>
    </row>
    <row r="750" spans="1:14" x14ac:dyDescent="0.25">
      <c r="A750" t="s">
        <v>143</v>
      </c>
      <c r="B750" t="s">
        <v>367</v>
      </c>
      <c r="C750" t="s">
        <v>18</v>
      </c>
      <c r="D750">
        <v>1</v>
      </c>
      <c r="E750">
        <v>1000</v>
      </c>
      <c r="F750">
        <v>-6.9999999999999999E-4</v>
      </c>
      <c r="G750">
        <v>-3.4600000000000001E-4</v>
      </c>
      <c r="H750">
        <v>3.6141880000000002E-4</v>
      </c>
      <c r="I750">
        <v>2.3730000000000001E-3</v>
      </c>
      <c r="J750">
        <v>2.5790000000000001E-3</v>
      </c>
      <c r="K750">
        <v>8.6720538099999994E-2</v>
      </c>
      <c r="L750">
        <v>-0.51068665300000005</v>
      </c>
      <c r="M750">
        <v>0.96299999999999997</v>
      </c>
      <c r="N750">
        <v>0</v>
      </c>
    </row>
    <row r="751" spans="1:14" x14ac:dyDescent="0.25">
      <c r="A751" t="s">
        <v>143</v>
      </c>
      <c r="B751" t="s">
        <v>368</v>
      </c>
      <c r="C751" t="s">
        <v>12</v>
      </c>
      <c r="D751">
        <v>1</v>
      </c>
      <c r="E751">
        <v>1000</v>
      </c>
      <c r="F751">
        <v>3.1354000000000002</v>
      </c>
      <c r="G751">
        <v>3.2347519999999998</v>
      </c>
      <c r="H751">
        <v>9.9361074100000002E-2</v>
      </c>
      <c r="I751">
        <v>0.19702800000000001</v>
      </c>
      <c r="J751">
        <v>0.202761</v>
      </c>
      <c r="K751">
        <v>2.90971514E-2</v>
      </c>
      <c r="L751">
        <v>3.1690169900000002E-2</v>
      </c>
      <c r="M751">
        <v>0.92800000000000005</v>
      </c>
      <c r="N751">
        <v>0</v>
      </c>
    </row>
    <row r="752" spans="1:14" x14ac:dyDescent="0.25">
      <c r="A752" t="s">
        <v>143</v>
      </c>
      <c r="B752" t="s">
        <v>368</v>
      </c>
      <c r="C752" t="s">
        <v>13</v>
      </c>
      <c r="D752">
        <v>1</v>
      </c>
      <c r="E752">
        <v>1000</v>
      </c>
      <c r="F752">
        <v>-0.44119999999999998</v>
      </c>
      <c r="G752">
        <v>-0.46668799999999999</v>
      </c>
      <c r="H752">
        <v>-2.5481579000000001E-2</v>
      </c>
      <c r="I752">
        <v>7.1792999999999996E-2</v>
      </c>
      <c r="J752">
        <v>7.3079000000000005E-2</v>
      </c>
      <c r="K752">
        <v>1.7907005100000001E-2</v>
      </c>
      <c r="L752">
        <v>5.7754342700000003E-2</v>
      </c>
      <c r="M752">
        <v>0.94399999999999995</v>
      </c>
      <c r="N752">
        <v>0</v>
      </c>
    </row>
    <row r="753" spans="1:14" x14ac:dyDescent="0.25">
      <c r="A753" t="s">
        <v>143</v>
      </c>
      <c r="B753" t="s">
        <v>368</v>
      </c>
      <c r="C753" t="s">
        <v>14</v>
      </c>
      <c r="D753">
        <v>1</v>
      </c>
      <c r="E753">
        <v>1000</v>
      </c>
      <c r="F753">
        <v>-7.3000000000000001E-3</v>
      </c>
      <c r="G753">
        <v>-1.5488E-2</v>
      </c>
      <c r="H753">
        <v>-8.1743819999999991E-3</v>
      </c>
      <c r="I753">
        <v>3.8100000000000002E-2</v>
      </c>
      <c r="J753">
        <v>4.4205000000000001E-2</v>
      </c>
      <c r="K753">
        <v>0.16025183139999999</v>
      </c>
      <c r="L753">
        <v>1.1176397517000001</v>
      </c>
      <c r="M753">
        <v>0.97</v>
      </c>
      <c r="N753">
        <v>0</v>
      </c>
    </row>
    <row r="754" spans="1:14" x14ac:dyDescent="0.25">
      <c r="A754" t="s">
        <v>143</v>
      </c>
      <c r="B754" t="s">
        <v>368</v>
      </c>
      <c r="C754" t="s">
        <v>15</v>
      </c>
      <c r="D754">
        <v>1</v>
      </c>
      <c r="E754">
        <v>1000</v>
      </c>
      <c r="F754">
        <v>-0.45419999999999999</v>
      </c>
      <c r="G754">
        <v>-0.48075499999999999</v>
      </c>
      <c r="H754">
        <v>-2.6567033E-2</v>
      </c>
      <c r="I754">
        <v>4.7673E-2</v>
      </c>
      <c r="J754">
        <v>4.7917000000000001E-2</v>
      </c>
      <c r="K754">
        <v>5.1264500999999999E-3</v>
      </c>
      <c r="L754">
        <v>5.8493465100000003E-2</v>
      </c>
      <c r="M754">
        <v>0.91300000000000003</v>
      </c>
      <c r="N754">
        <v>0</v>
      </c>
    </row>
    <row r="755" spans="1:14" x14ac:dyDescent="0.25">
      <c r="A755" t="s">
        <v>143</v>
      </c>
      <c r="B755" t="s">
        <v>368</v>
      </c>
      <c r="C755" t="s">
        <v>16</v>
      </c>
      <c r="D755">
        <v>1</v>
      </c>
      <c r="E755">
        <v>1000</v>
      </c>
      <c r="F755">
        <v>-8.2500000000000004E-2</v>
      </c>
      <c r="G755">
        <v>-6.5199999999999994E-2</v>
      </c>
      <c r="H755">
        <v>1.7342783899999999E-2</v>
      </c>
      <c r="I755">
        <v>5.0673999999999997E-2</v>
      </c>
      <c r="J755">
        <v>5.5030000000000003E-2</v>
      </c>
      <c r="K755">
        <v>8.5965136100000006E-2</v>
      </c>
      <c r="L755">
        <v>-0.21010754600000001</v>
      </c>
      <c r="M755">
        <v>0.95399999999999996</v>
      </c>
      <c r="N755">
        <v>0</v>
      </c>
    </row>
    <row r="756" spans="1:14" x14ac:dyDescent="0.25">
      <c r="A756" t="s">
        <v>143</v>
      </c>
      <c r="B756" t="s">
        <v>368</v>
      </c>
      <c r="C756" t="s">
        <v>17</v>
      </c>
      <c r="D756">
        <v>1</v>
      </c>
      <c r="E756">
        <v>1000</v>
      </c>
      <c r="F756">
        <v>-0.12590000000000001</v>
      </c>
      <c r="G756">
        <v>-0.128272</v>
      </c>
      <c r="H756">
        <v>-2.3255870000000001E-3</v>
      </c>
      <c r="I756">
        <v>4.875E-3</v>
      </c>
      <c r="J756">
        <v>5.006E-3</v>
      </c>
      <c r="K756">
        <v>2.6757458800000002E-2</v>
      </c>
      <c r="L756">
        <v>1.8464912399999998E-2</v>
      </c>
      <c r="M756">
        <v>0.94</v>
      </c>
      <c r="N756">
        <v>0</v>
      </c>
    </row>
    <row r="757" spans="1:14" x14ac:dyDescent="0.25">
      <c r="A757" t="s">
        <v>143</v>
      </c>
      <c r="B757" t="s">
        <v>368</v>
      </c>
      <c r="C757" t="s">
        <v>18</v>
      </c>
      <c r="D757">
        <v>1</v>
      </c>
      <c r="E757">
        <v>1000</v>
      </c>
      <c r="F757">
        <v>-6.9999999999999999E-4</v>
      </c>
      <c r="G757">
        <v>-5.0100000000000003E-4</v>
      </c>
      <c r="H757">
        <v>2.067561E-4</v>
      </c>
      <c r="I757">
        <v>2.2799999999999999E-3</v>
      </c>
      <c r="J757">
        <v>2.48E-3</v>
      </c>
      <c r="K757">
        <v>8.8030151200000004E-2</v>
      </c>
      <c r="L757">
        <v>-0.29214741999999999</v>
      </c>
      <c r="M757">
        <v>0.96699999999999997</v>
      </c>
      <c r="N757">
        <v>0</v>
      </c>
    </row>
    <row r="758" spans="1:14" x14ac:dyDescent="0.25">
      <c r="A758" t="s">
        <v>143</v>
      </c>
      <c r="B758" t="s">
        <v>635</v>
      </c>
      <c r="C758" t="s">
        <v>12</v>
      </c>
      <c r="D758">
        <v>1</v>
      </c>
      <c r="E758">
        <v>947</v>
      </c>
      <c r="F758">
        <v>107.0774</v>
      </c>
      <c r="G758">
        <v>104.015214</v>
      </c>
      <c r="H758">
        <v>-3.062194227</v>
      </c>
      <c r="I758">
        <v>1.3818569999999999</v>
      </c>
      <c r="J758">
        <v>1.457525</v>
      </c>
      <c r="K758">
        <v>5.4758037000000002E-2</v>
      </c>
      <c r="L758">
        <v>-2.8597949000000001E-2</v>
      </c>
      <c r="M758">
        <v>0.464625132</v>
      </c>
      <c r="N758">
        <v>0</v>
      </c>
    </row>
    <row r="759" spans="1:14" x14ac:dyDescent="0.25">
      <c r="A759" t="s">
        <v>143</v>
      </c>
      <c r="B759" t="s">
        <v>635</v>
      </c>
      <c r="C759" t="s">
        <v>13</v>
      </c>
      <c r="D759">
        <v>1</v>
      </c>
      <c r="E759">
        <v>947</v>
      </c>
      <c r="F759">
        <v>-4.7686000000000002</v>
      </c>
      <c r="G759">
        <v>-4.8064140000000002</v>
      </c>
      <c r="H759">
        <v>-3.7771897999999998E-2</v>
      </c>
      <c r="I759">
        <v>0.52720199999999995</v>
      </c>
      <c r="J759">
        <v>0.55536700000000006</v>
      </c>
      <c r="K759">
        <v>5.3422964699999999E-2</v>
      </c>
      <c r="L759">
        <v>7.9208924000000007E-3</v>
      </c>
      <c r="M759">
        <v>0.95564941920000002</v>
      </c>
      <c r="N759">
        <v>0</v>
      </c>
    </row>
    <row r="760" spans="1:14" x14ac:dyDescent="0.25">
      <c r="A760" t="s">
        <v>143</v>
      </c>
      <c r="B760" t="s">
        <v>635</v>
      </c>
      <c r="C760" t="s">
        <v>14</v>
      </c>
      <c r="D760">
        <v>1</v>
      </c>
      <c r="E760">
        <v>947</v>
      </c>
      <c r="F760">
        <v>8.6966999999999999</v>
      </c>
      <c r="G760">
        <v>10.660231</v>
      </c>
      <c r="H760">
        <v>1.9635318911999999</v>
      </c>
      <c r="I760">
        <v>0.329289</v>
      </c>
      <c r="J760">
        <v>0.32639200000000002</v>
      </c>
      <c r="K760">
        <v>-8.7970059999999996E-3</v>
      </c>
      <c r="L760">
        <v>0.22577899570000001</v>
      </c>
      <c r="M760">
        <v>0</v>
      </c>
      <c r="N760">
        <v>0</v>
      </c>
    </row>
    <row r="761" spans="1:14" x14ac:dyDescent="0.25">
      <c r="A761" t="s">
        <v>143</v>
      </c>
      <c r="B761" t="s">
        <v>635</v>
      </c>
      <c r="C761" t="s">
        <v>15</v>
      </c>
      <c r="D761">
        <v>1</v>
      </c>
      <c r="E761">
        <v>947</v>
      </c>
      <c r="F761">
        <v>-1.6103000000000001</v>
      </c>
      <c r="G761">
        <v>-1.0258149999999999</v>
      </c>
      <c r="H761">
        <v>0.58447959670000005</v>
      </c>
      <c r="I761">
        <v>0.34093400000000001</v>
      </c>
      <c r="J761">
        <v>0.35371000000000002</v>
      </c>
      <c r="K761">
        <v>3.7474718999999997E-2</v>
      </c>
      <c r="L761">
        <v>-0.36296439899999999</v>
      </c>
      <c r="M761">
        <v>0.63252375920000004</v>
      </c>
      <c r="N761">
        <v>0</v>
      </c>
    </row>
    <row r="762" spans="1:14" x14ac:dyDescent="0.25">
      <c r="A762" t="s">
        <v>143</v>
      </c>
      <c r="B762" t="s">
        <v>635</v>
      </c>
      <c r="C762" t="s">
        <v>16</v>
      </c>
      <c r="D762">
        <v>1</v>
      </c>
      <c r="E762">
        <v>947</v>
      </c>
      <c r="F762">
        <v>-7.9151999999999996</v>
      </c>
      <c r="G762">
        <v>-9.6137669999999993</v>
      </c>
      <c r="H762">
        <v>-1.6985914230000001</v>
      </c>
      <c r="I762">
        <v>0.38298100000000002</v>
      </c>
      <c r="J762">
        <v>0.39754699999999998</v>
      </c>
      <c r="K762">
        <v>3.8033580900000002E-2</v>
      </c>
      <c r="L762">
        <v>0.2145993343</v>
      </c>
      <c r="M762">
        <v>9.5036958999999994E-3</v>
      </c>
      <c r="N762">
        <v>0</v>
      </c>
    </row>
    <row r="763" spans="1:14" x14ac:dyDescent="0.25">
      <c r="A763" t="s">
        <v>143</v>
      </c>
      <c r="B763" t="s">
        <v>635</v>
      </c>
      <c r="C763" t="s">
        <v>17</v>
      </c>
      <c r="D763">
        <v>1</v>
      </c>
      <c r="E763">
        <v>947</v>
      </c>
      <c r="F763">
        <v>5.8681000000000001</v>
      </c>
      <c r="G763">
        <v>5.792103</v>
      </c>
      <c r="H763">
        <v>-7.6036431000000002E-2</v>
      </c>
      <c r="I763">
        <v>2.7310999999999998E-2</v>
      </c>
      <c r="J763">
        <v>2.7472E-2</v>
      </c>
      <c r="K763">
        <v>5.8965685000000002E-3</v>
      </c>
      <c r="L763">
        <v>-1.2957503E-2</v>
      </c>
      <c r="M763">
        <v>0.2291446674</v>
      </c>
      <c r="N763">
        <v>0</v>
      </c>
    </row>
    <row r="764" spans="1:14" x14ac:dyDescent="0.25">
      <c r="A764" t="s">
        <v>143</v>
      </c>
      <c r="B764" t="s">
        <v>635</v>
      </c>
      <c r="C764" t="s">
        <v>18</v>
      </c>
      <c r="D764">
        <v>1</v>
      </c>
      <c r="E764">
        <v>947</v>
      </c>
      <c r="F764">
        <v>2.8400000000000002E-2</v>
      </c>
      <c r="G764">
        <v>2.4421999999999999E-2</v>
      </c>
      <c r="H764">
        <v>-3.9940430000000001E-3</v>
      </c>
      <c r="I764">
        <v>1.7305999999999998E-2</v>
      </c>
      <c r="J764">
        <v>1.8605E-2</v>
      </c>
      <c r="K764">
        <v>7.5074264200000004E-2</v>
      </c>
      <c r="L764">
        <v>-0.14055353600000001</v>
      </c>
      <c r="M764">
        <v>0.96092925029999998</v>
      </c>
      <c r="N764">
        <v>0</v>
      </c>
    </row>
    <row r="765" spans="1:14" x14ac:dyDescent="0.25">
      <c r="A765" t="s">
        <v>143</v>
      </c>
      <c r="B765" t="s">
        <v>636</v>
      </c>
      <c r="C765" t="s">
        <v>12</v>
      </c>
      <c r="D765">
        <v>1</v>
      </c>
      <c r="E765">
        <v>880</v>
      </c>
      <c r="F765">
        <v>3.1354000000000002</v>
      </c>
      <c r="G765">
        <v>3.2220650000000002</v>
      </c>
      <c r="H765">
        <v>8.6674221400000001E-2</v>
      </c>
      <c r="I765">
        <v>0.19888400000000001</v>
      </c>
      <c r="J765">
        <v>0.20352500000000001</v>
      </c>
      <c r="K765">
        <v>2.3339973399999998E-2</v>
      </c>
      <c r="L765">
        <v>2.7643831600000002E-2</v>
      </c>
      <c r="M765">
        <v>0.93409090910000003</v>
      </c>
      <c r="N765">
        <v>0</v>
      </c>
    </row>
    <row r="766" spans="1:14" x14ac:dyDescent="0.25">
      <c r="A766" t="s">
        <v>143</v>
      </c>
      <c r="B766" t="s">
        <v>636</v>
      </c>
      <c r="C766" t="s">
        <v>13</v>
      </c>
      <c r="D766">
        <v>1</v>
      </c>
      <c r="E766">
        <v>880</v>
      </c>
      <c r="F766">
        <v>-0.44119999999999998</v>
      </c>
      <c r="G766">
        <v>-0.46556799999999998</v>
      </c>
      <c r="H766">
        <v>-2.4361904E-2</v>
      </c>
      <c r="I766">
        <v>7.2336999999999999E-2</v>
      </c>
      <c r="J766">
        <v>7.3710999999999999E-2</v>
      </c>
      <c r="K766">
        <v>1.89847907E-2</v>
      </c>
      <c r="L766">
        <v>5.5216584200000002E-2</v>
      </c>
      <c r="M766">
        <v>0.94318181820000002</v>
      </c>
      <c r="N766">
        <v>0</v>
      </c>
    </row>
    <row r="767" spans="1:14" x14ac:dyDescent="0.25">
      <c r="A767" t="s">
        <v>143</v>
      </c>
      <c r="B767" t="s">
        <v>636</v>
      </c>
      <c r="C767" t="s">
        <v>14</v>
      </c>
      <c r="D767">
        <v>1</v>
      </c>
      <c r="E767">
        <v>880</v>
      </c>
      <c r="F767">
        <v>-7.3000000000000001E-3</v>
      </c>
      <c r="G767">
        <v>-1.6275999999999999E-2</v>
      </c>
      <c r="H767">
        <v>-8.9622669999999995E-3</v>
      </c>
      <c r="I767">
        <v>3.7881999999999999E-2</v>
      </c>
      <c r="J767">
        <v>4.4073000000000001E-2</v>
      </c>
      <c r="K767">
        <v>0.16343137669999999</v>
      </c>
      <c r="L767">
        <v>1.2253629622</v>
      </c>
      <c r="M767">
        <v>0.97386363639999995</v>
      </c>
      <c r="N767">
        <v>0</v>
      </c>
    </row>
    <row r="768" spans="1:14" x14ac:dyDescent="0.25">
      <c r="A768" t="s">
        <v>143</v>
      </c>
      <c r="B768" t="s">
        <v>636</v>
      </c>
      <c r="C768" t="s">
        <v>15</v>
      </c>
      <c r="D768">
        <v>1</v>
      </c>
      <c r="E768">
        <v>880</v>
      </c>
      <c r="F768">
        <v>-0.45419999999999999</v>
      </c>
      <c r="G768">
        <v>-0.481819</v>
      </c>
      <c r="H768">
        <v>-2.7631307000000001E-2</v>
      </c>
      <c r="I768">
        <v>4.8259000000000003E-2</v>
      </c>
      <c r="J768">
        <v>4.8680000000000001E-2</v>
      </c>
      <c r="K768">
        <v>8.7279929999999999E-3</v>
      </c>
      <c r="L768">
        <v>6.0836710699999998E-2</v>
      </c>
      <c r="M768">
        <v>0.90454545450000001</v>
      </c>
      <c r="N768">
        <v>0</v>
      </c>
    </row>
    <row r="769" spans="1:14" x14ac:dyDescent="0.25">
      <c r="A769" t="s">
        <v>143</v>
      </c>
      <c r="B769" t="s">
        <v>636</v>
      </c>
      <c r="C769" t="s">
        <v>16</v>
      </c>
      <c r="D769">
        <v>1</v>
      </c>
      <c r="E769">
        <v>880</v>
      </c>
      <c r="F769">
        <v>-8.2500000000000004E-2</v>
      </c>
      <c r="G769">
        <v>-6.5939999999999999E-2</v>
      </c>
      <c r="H769">
        <v>1.6602803100000001E-2</v>
      </c>
      <c r="I769">
        <v>5.1076000000000003E-2</v>
      </c>
      <c r="J769">
        <v>5.4841000000000001E-2</v>
      </c>
      <c r="K769">
        <v>7.3717586500000001E-2</v>
      </c>
      <c r="L769">
        <v>-0.20114269100000001</v>
      </c>
      <c r="M769">
        <v>0.95</v>
      </c>
      <c r="N769">
        <v>0</v>
      </c>
    </row>
    <row r="770" spans="1:14" x14ac:dyDescent="0.25">
      <c r="A770" t="s">
        <v>143</v>
      </c>
      <c r="B770" t="s">
        <v>636</v>
      </c>
      <c r="C770" t="s">
        <v>17</v>
      </c>
      <c r="D770">
        <v>1</v>
      </c>
      <c r="E770">
        <v>880</v>
      </c>
      <c r="F770">
        <v>-0.12590000000000001</v>
      </c>
      <c r="G770">
        <v>-0.12783800000000001</v>
      </c>
      <c r="H770">
        <v>-1.8915430000000001E-3</v>
      </c>
      <c r="I770">
        <v>4.8469999999999997E-3</v>
      </c>
      <c r="J770">
        <v>4.9760000000000004E-3</v>
      </c>
      <c r="K770">
        <v>2.6580890900000001E-2</v>
      </c>
      <c r="L770">
        <v>1.50186456E-2</v>
      </c>
      <c r="M770">
        <v>0.95568181819999998</v>
      </c>
      <c r="N770">
        <v>0</v>
      </c>
    </row>
    <row r="771" spans="1:14" x14ac:dyDescent="0.25">
      <c r="A771" t="s">
        <v>143</v>
      </c>
      <c r="B771" t="s">
        <v>636</v>
      </c>
      <c r="C771" t="s">
        <v>18</v>
      </c>
      <c r="D771">
        <v>1</v>
      </c>
      <c r="E771">
        <v>880</v>
      </c>
      <c r="F771">
        <v>-6.9999999999999999E-4</v>
      </c>
      <c r="G771">
        <v>-2.5599999999999999E-4</v>
      </c>
      <c r="H771">
        <v>4.5194940000000002E-4</v>
      </c>
      <c r="I771">
        <v>2.408E-3</v>
      </c>
      <c r="J771">
        <v>2.594E-3</v>
      </c>
      <c r="K771">
        <v>7.7494969499999997E-2</v>
      </c>
      <c r="L771">
        <v>-0.63860683500000004</v>
      </c>
      <c r="M771">
        <v>0.96250000000000002</v>
      </c>
      <c r="N771">
        <v>0</v>
      </c>
    </row>
    <row r="772" spans="1:14" x14ac:dyDescent="0.25">
      <c r="A772" t="s">
        <v>143</v>
      </c>
      <c r="B772" t="s">
        <v>174</v>
      </c>
      <c r="C772" t="s">
        <v>12</v>
      </c>
      <c r="D772">
        <v>1</v>
      </c>
      <c r="E772">
        <v>1000</v>
      </c>
      <c r="F772">
        <v>107.0774</v>
      </c>
      <c r="G772">
        <v>107.11582</v>
      </c>
      <c r="H772">
        <v>3.8411644699999997E-2</v>
      </c>
      <c r="I772">
        <v>1.7312350000000001</v>
      </c>
      <c r="J772">
        <v>1.701174</v>
      </c>
      <c r="K772">
        <v>-1.7364233999999999E-2</v>
      </c>
      <c r="L772">
        <v>3.5872779999999998E-4</v>
      </c>
      <c r="M772">
        <v>0.94899999999999995</v>
      </c>
      <c r="N772">
        <v>1</v>
      </c>
    </row>
    <row r="773" spans="1:14" x14ac:dyDescent="0.25">
      <c r="A773" t="s">
        <v>143</v>
      </c>
      <c r="B773" t="s">
        <v>174</v>
      </c>
      <c r="C773" t="s">
        <v>13</v>
      </c>
      <c r="D773">
        <v>1</v>
      </c>
      <c r="E773">
        <v>1000</v>
      </c>
      <c r="F773">
        <v>-4.7686000000000002</v>
      </c>
      <c r="G773">
        <v>-4.7668650000000001</v>
      </c>
      <c r="H773">
        <v>1.7770284999999999E-3</v>
      </c>
      <c r="I773">
        <v>0.65183199999999997</v>
      </c>
      <c r="J773">
        <v>0.65154500000000004</v>
      </c>
      <c r="K773">
        <v>-4.4093399999999998E-4</v>
      </c>
      <c r="L773">
        <v>-3.7264900000000002E-4</v>
      </c>
      <c r="M773">
        <v>0.95199999999999996</v>
      </c>
      <c r="N773">
        <v>1</v>
      </c>
    </row>
    <row r="774" spans="1:14" x14ac:dyDescent="0.25">
      <c r="A774" t="s">
        <v>143</v>
      </c>
      <c r="B774" t="s">
        <v>174</v>
      </c>
      <c r="C774" t="s">
        <v>14</v>
      </c>
      <c r="D774">
        <v>1</v>
      </c>
      <c r="E774">
        <v>1000</v>
      </c>
      <c r="F774">
        <v>8.6966999999999999</v>
      </c>
      <c r="G774">
        <v>8.6988070000000004</v>
      </c>
      <c r="H774">
        <v>2.1080547000000001E-3</v>
      </c>
      <c r="I774">
        <v>0.39236599999999999</v>
      </c>
      <c r="J774">
        <v>0.38603599999999999</v>
      </c>
      <c r="K774">
        <v>-1.6132924999999999E-2</v>
      </c>
      <c r="L774">
        <v>2.423971E-4</v>
      </c>
      <c r="M774">
        <v>0.94399999999999995</v>
      </c>
      <c r="N774">
        <v>1</v>
      </c>
    </row>
    <row r="775" spans="1:14" x14ac:dyDescent="0.25">
      <c r="A775" t="s">
        <v>143</v>
      </c>
      <c r="B775" t="s">
        <v>174</v>
      </c>
      <c r="C775" t="s">
        <v>15</v>
      </c>
      <c r="D775">
        <v>1</v>
      </c>
      <c r="E775">
        <v>1000</v>
      </c>
      <c r="F775">
        <v>-1.6103000000000001</v>
      </c>
      <c r="G775">
        <v>-1.6161430000000001</v>
      </c>
      <c r="H775">
        <v>-5.8484059999999996E-3</v>
      </c>
      <c r="I775">
        <v>0.41699199999999997</v>
      </c>
      <c r="J775">
        <v>0.40879199999999999</v>
      </c>
      <c r="K775">
        <v>-1.9665081000000001E-2</v>
      </c>
      <c r="L775">
        <v>3.631886E-3</v>
      </c>
      <c r="M775">
        <v>0.94699999999999995</v>
      </c>
      <c r="N775">
        <v>0.97399999999999998</v>
      </c>
    </row>
    <row r="776" spans="1:14" x14ac:dyDescent="0.25">
      <c r="A776" t="s">
        <v>143</v>
      </c>
      <c r="B776" t="s">
        <v>174</v>
      </c>
      <c r="C776" t="s">
        <v>16</v>
      </c>
      <c r="D776">
        <v>1</v>
      </c>
      <c r="E776">
        <v>1000</v>
      </c>
      <c r="F776">
        <v>-7.9151999999999996</v>
      </c>
      <c r="G776">
        <v>-7.9170920000000002</v>
      </c>
      <c r="H776">
        <v>-1.9162440000000001E-3</v>
      </c>
      <c r="I776">
        <v>0.48679899999999998</v>
      </c>
      <c r="J776">
        <v>0.48823800000000001</v>
      </c>
      <c r="K776">
        <v>2.9567690000000002E-3</v>
      </c>
      <c r="L776">
        <v>2.4209749999999999E-4</v>
      </c>
      <c r="M776">
        <v>0.94199999999999995</v>
      </c>
      <c r="N776">
        <v>1</v>
      </c>
    </row>
    <row r="777" spans="1:14" x14ac:dyDescent="0.25">
      <c r="A777" t="s">
        <v>143</v>
      </c>
      <c r="B777" t="s">
        <v>174</v>
      </c>
      <c r="C777" t="s">
        <v>17</v>
      </c>
      <c r="D777">
        <v>1</v>
      </c>
      <c r="E777">
        <v>1000</v>
      </c>
      <c r="F777">
        <v>5.8681000000000001</v>
      </c>
      <c r="G777">
        <v>5.8680700000000003</v>
      </c>
      <c r="H777">
        <v>-6.8714999999999995E-5</v>
      </c>
      <c r="I777">
        <v>3.8401999999999999E-2</v>
      </c>
      <c r="J777">
        <v>4.0141999999999997E-2</v>
      </c>
      <c r="K777">
        <v>4.5307474200000003E-2</v>
      </c>
      <c r="L777">
        <v>-1.171E-5</v>
      </c>
      <c r="M777">
        <v>0.96</v>
      </c>
      <c r="N777">
        <v>1</v>
      </c>
    </row>
    <row r="778" spans="1:14" x14ac:dyDescent="0.25">
      <c r="A778" t="s">
        <v>143</v>
      </c>
      <c r="B778" t="s">
        <v>174</v>
      </c>
      <c r="C778" t="s">
        <v>18</v>
      </c>
      <c r="D778">
        <v>1</v>
      </c>
      <c r="E778">
        <v>1000</v>
      </c>
      <c r="F778">
        <v>2.8400000000000002E-2</v>
      </c>
      <c r="G778">
        <v>2.8160999999999999E-2</v>
      </c>
      <c r="H778">
        <v>-2.5516800000000001E-4</v>
      </c>
      <c r="I778">
        <v>2.2645999999999999E-2</v>
      </c>
      <c r="J778">
        <v>2.2076999999999999E-2</v>
      </c>
      <c r="K778">
        <v>-2.5147235E-2</v>
      </c>
      <c r="L778">
        <v>-8.9795489999999999E-3</v>
      </c>
      <c r="M778">
        <v>0.93799999999999994</v>
      </c>
      <c r="N778">
        <v>0.255</v>
      </c>
    </row>
    <row r="779" spans="1:14" x14ac:dyDescent="0.25">
      <c r="A779" t="s">
        <v>143</v>
      </c>
      <c r="B779" t="s">
        <v>175</v>
      </c>
      <c r="C779" t="s">
        <v>12</v>
      </c>
      <c r="D779">
        <v>1</v>
      </c>
      <c r="E779">
        <v>1000</v>
      </c>
      <c r="F779">
        <v>107.0774</v>
      </c>
      <c r="G779">
        <v>106.572005</v>
      </c>
      <c r="H779">
        <v>-0.50540316900000004</v>
      </c>
      <c r="I779">
        <v>1.7130000000000001</v>
      </c>
      <c r="J779">
        <v>1.6787110000000001</v>
      </c>
      <c r="K779">
        <v>-2.0016655000000001E-2</v>
      </c>
      <c r="L779">
        <v>-4.719979E-3</v>
      </c>
      <c r="M779">
        <v>0.94599999999999995</v>
      </c>
      <c r="N779">
        <v>1</v>
      </c>
    </row>
    <row r="780" spans="1:14" x14ac:dyDescent="0.25">
      <c r="A780" t="s">
        <v>143</v>
      </c>
      <c r="B780" t="s">
        <v>175</v>
      </c>
      <c r="C780" t="s">
        <v>13</v>
      </c>
      <c r="D780">
        <v>1</v>
      </c>
      <c r="E780">
        <v>1000</v>
      </c>
      <c r="F780">
        <v>-4.7686000000000002</v>
      </c>
      <c r="G780">
        <v>-4.0731510000000002</v>
      </c>
      <c r="H780">
        <v>0.69549051139999996</v>
      </c>
      <c r="I780">
        <v>0.638992</v>
      </c>
      <c r="J780">
        <v>0.64232699999999998</v>
      </c>
      <c r="K780">
        <v>5.2187665000000003E-3</v>
      </c>
      <c r="L780">
        <v>-0.14584667100000001</v>
      </c>
      <c r="M780">
        <v>0.79900000000000004</v>
      </c>
      <c r="N780">
        <v>1</v>
      </c>
    </row>
    <row r="781" spans="1:14" x14ac:dyDescent="0.25">
      <c r="A781" t="s">
        <v>143</v>
      </c>
      <c r="B781" t="s">
        <v>175</v>
      </c>
      <c r="C781" t="s">
        <v>14</v>
      </c>
      <c r="D781">
        <v>1</v>
      </c>
      <c r="E781">
        <v>1000</v>
      </c>
      <c r="F781">
        <v>8.6966999999999999</v>
      </c>
      <c r="G781">
        <v>8.6356359999999999</v>
      </c>
      <c r="H781">
        <v>-6.1062320000000003E-2</v>
      </c>
      <c r="I781">
        <v>0.36940600000000001</v>
      </c>
      <c r="J781">
        <v>0.37961800000000001</v>
      </c>
      <c r="K781">
        <v>2.7645135299999998E-2</v>
      </c>
      <c r="L781">
        <v>-7.021322E-3</v>
      </c>
      <c r="M781">
        <v>0.95399999999999996</v>
      </c>
      <c r="N781">
        <v>1</v>
      </c>
    </row>
    <row r="782" spans="1:14" x14ac:dyDescent="0.25">
      <c r="A782" t="s">
        <v>143</v>
      </c>
      <c r="B782" t="s">
        <v>175</v>
      </c>
      <c r="C782" t="s">
        <v>15</v>
      </c>
      <c r="D782">
        <v>1</v>
      </c>
      <c r="E782">
        <v>1000</v>
      </c>
      <c r="F782">
        <v>-1.6103000000000001</v>
      </c>
      <c r="G782">
        <v>-1.6426940000000001</v>
      </c>
      <c r="H782">
        <v>-3.2399887000000002E-2</v>
      </c>
      <c r="I782">
        <v>0.41162500000000002</v>
      </c>
      <c r="J782">
        <v>0.40302399999999999</v>
      </c>
      <c r="K782">
        <v>-2.0894678E-2</v>
      </c>
      <c r="L782">
        <v>2.0120472399999999E-2</v>
      </c>
      <c r="M782">
        <v>0.94499999999999995</v>
      </c>
      <c r="N782">
        <v>0.97699999999999998</v>
      </c>
    </row>
    <row r="783" spans="1:14" x14ac:dyDescent="0.25">
      <c r="A783" t="s">
        <v>143</v>
      </c>
      <c r="B783" t="s">
        <v>175</v>
      </c>
      <c r="C783" t="s">
        <v>16</v>
      </c>
      <c r="D783">
        <v>1</v>
      </c>
      <c r="E783">
        <v>1000</v>
      </c>
      <c r="F783">
        <v>-7.9151999999999996</v>
      </c>
      <c r="G783">
        <v>-7.9829809999999997</v>
      </c>
      <c r="H783">
        <v>-6.7805217000000001E-2</v>
      </c>
      <c r="I783">
        <v>0.48119299999999998</v>
      </c>
      <c r="J783">
        <v>0.48674499999999998</v>
      </c>
      <c r="K783">
        <v>1.15386367E-2</v>
      </c>
      <c r="L783">
        <v>8.5664829000000001E-3</v>
      </c>
      <c r="M783">
        <v>0.95199999999999996</v>
      </c>
      <c r="N783">
        <v>1</v>
      </c>
    </row>
    <row r="784" spans="1:14" x14ac:dyDescent="0.25">
      <c r="A784" t="s">
        <v>143</v>
      </c>
      <c r="B784" t="s">
        <v>175</v>
      </c>
      <c r="C784" t="s">
        <v>17</v>
      </c>
      <c r="D784">
        <v>1</v>
      </c>
      <c r="E784">
        <v>1000</v>
      </c>
      <c r="F784">
        <v>5.8681000000000001</v>
      </c>
      <c r="G784">
        <v>5.7824819999999999</v>
      </c>
      <c r="H784">
        <v>-8.5657273000000006E-2</v>
      </c>
      <c r="I784">
        <v>3.6233000000000001E-2</v>
      </c>
      <c r="J784">
        <v>3.9558000000000003E-2</v>
      </c>
      <c r="K784">
        <v>9.1777988000000005E-2</v>
      </c>
      <c r="L784">
        <v>-1.4597008E-2</v>
      </c>
      <c r="M784">
        <v>0.40600000000000003</v>
      </c>
      <c r="N784">
        <v>1</v>
      </c>
    </row>
    <row r="785" spans="1:14" x14ac:dyDescent="0.25">
      <c r="A785" t="s">
        <v>143</v>
      </c>
      <c r="B785" t="s">
        <v>175</v>
      </c>
      <c r="C785" t="s">
        <v>18</v>
      </c>
      <c r="D785">
        <v>1</v>
      </c>
      <c r="E785">
        <v>1000</v>
      </c>
      <c r="F785">
        <v>2.8400000000000002E-2</v>
      </c>
      <c r="G785">
        <v>3.3014000000000002E-2</v>
      </c>
      <c r="H785">
        <v>4.5972377000000004E-3</v>
      </c>
      <c r="I785">
        <v>2.1909999999999999E-2</v>
      </c>
      <c r="J785">
        <v>2.1725999999999999E-2</v>
      </c>
      <c r="K785">
        <v>-8.4240300000000008E-3</v>
      </c>
      <c r="L785">
        <v>0.1617804347</v>
      </c>
      <c r="M785">
        <v>0.94699999999999995</v>
      </c>
      <c r="N785">
        <v>0.33300000000000002</v>
      </c>
    </row>
    <row r="786" spans="1:14" x14ac:dyDescent="0.25">
      <c r="A786" t="s">
        <v>143</v>
      </c>
      <c r="B786" t="s">
        <v>369</v>
      </c>
      <c r="C786" t="s">
        <v>12</v>
      </c>
      <c r="D786">
        <v>1</v>
      </c>
      <c r="E786">
        <v>1000</v>
      </c>
      <c r="F786">
        <v>107.0774</v>
      </c>
      <c r="G786">
        <v>107.064065</v>
      </c>
      <c r="H786">
        <v>-1.3343226E-2</v>
      </c>
      <c r="I786">
        <v>1.5534019999999999</v>
      </c>
      <c r="J786">
        <v>1.5953189999999999</v>
      </c>
      <c r="K786">
        <v>2.6984034899999999E-2</v>
      </c>
      <c r="L786">
        <v>-1.2461300000000001E-4</v>
      </c>
      <c r="M786">
        <v>0.95699999999999996</v>
      </c>
      <c r="N786">
        <v>1</v>
      </c>
    </row>
    <row r="787" spans="1:14" x14ac:dyDescent="0.25">
      <c r="A787" t="s">
        <v>143</v>
      </c>
      <c r="B787" t="s">
        <v>369</v>
      </c>
      <c r="C787" t="s">
        <v>13</v>
      </c>
      <c r="D787">
        <v>1</v>
      </c>
      <c r="E787">
        <v>1000</v>
      </c>
      <c r="F787">
        <v>-4.7686000000000002</v>
      </c>
      <c r="G787">
        <v>-4.7752049999999997</v>
      </c>
      <c r="H787">
        <v>-6.5635379999999998E-3</v>
      </c>
      <c r="I787">
        <v>0.58508400000000005</v>
      </c>
      <c r="J787">
        <v>0.59429299999999996</v>
      </c>
      <c r="K787">
        <v>1.5739698199999999E-2</v>
      </c>
      <c r="L787">
        <v>1.3763957999999999E-3</v>
      </c>
      <c r="M787">
        <v>0.95299999999999996</v>
      </c>
      <c r="N787">
        <v>1</v>
      </c>
    </row>
    <row r="788" spans="1:14" x14ac:dyDescent="0.25">
      <c r="A788" t="s">
        <v>143</v>
      </c>
      <c r="B788" t="s">
        <v>369</v>
      </c>
      <c r="C788" t="s">
        <v>14</v>
      </c>
      <c r="D788">
        <v>1</v>
      </c>
      <c r="E788">
        <v>1000</v>
      </c>
      <c r="F788">
        <v>8.6966999999999999</v>
      </c>
      <c r="G788">
        <v>8.7022309999999994</v>
      </c>
      <c r="H788">
        <v>5.5320161000000003E-3</v>
      </c>
      <c r="I788">
        <v>0.35903299999999999</v>
      </c>
      <c r="J788">
        <v>0.356319</v>
      </c>
      <c r="K788">
        <v>-7.5574919999999999E-3</v>
      </c>
      <c r="L788">
        <v>6.3610529999999998E-4</v>
      </c>
      <c r="M788">
        <v>0.95</v>
      </c>
      <c r="N788">
        <v>1</v>
      </c>
    </row>
    <row r="789" spans="1:14" x14ac:dyDescent="0.25">
      <c r="A789" t="s">
        <v>143</v>
      </c>
      <c r="B789" t="s">
        <v>369</v>
      </c>
      <c r="C789" t="s">
        <v>15</v>
      </c>
      <c r="D789">
        <v>1</v>
      </c>
      <c r="E789">
        <v>1000</v>
      </c>
      <c r="F789">
        <v>-1.6103000000000001</v>
      </c>
      <c r="G789">
        <v>-1.601801</v>
      </c>
      <c r="H789">
        <v>8.4938500000000007E-3</v>
      </c>
      <c r="I789">
        <v>0.36672399999999999</v>
      </c>
      <c r="J789">
        <v>0.38128000000000001</v>
      </c>
      <c r="K789">
        <v>3.9693183700000002E-2</v>
      </c>
      <c r="L789">
        <v>-5.2747180000000003E-3</v>
      </c>
      <c r="M789">
        <v>0.95899999999999996</v>
      </c>
      <c r="N789">
        <v>0.99199999999999999</v>
      </c>
    </row>
    <row r="790" spans="1:14" x14ac:dyDescent="0.25">
      <c r="A790" t="s">
        <v>143</v>
      </c>
      <c r="B790" t="s">
        <v>369</v>
      </c>
      <c r="C790" t="s">
        <v>16</v>
      </c>
      <c r="D790">
        <v>1</v>
      </c>
      <c r="E790">
        <v>1000</v>
      </c>
      <c r="F790">
        <v>-7.9151999999999996</v>
      </c>
      <c r="G790">
        <v>-7.9303020000000002</v>
      </c>
      <c r="H790">
        <v>-1.5126741000000001E-2</v>
      </c>
      <c r="I790">
        <v>0.43246899999999999</v>
      </c>
      <c r="J790">
        <v>0.44427699999999998</v>
      </c>
      <c r="K790">
        <v>2.7303362800000001E-2</v>
      </c>
      <c r="L790">
        <v>1.9111061999999999E-3</v>
      </c>
      <c r="M790">
        <v>0.95099999999999996</v>
      </c>
      <c r="N790">
        <v>1</v>
      </c>
    </row>
    <row r="791" spans="1:14" x14ac:dyDescent="0.25">
      <c r="A791" t="s">
        <v>143</v>
      </c>
      <c r="B791" t="s">
        <v>369</v>
      </c>
      <c r="C791" t="s">
        <v>17</v>
      </c>
      <c r="D791">
        <v>1</v>
      </c>
      <c r="E791">
        <v>1000</v>
      </c>
      <c r="F791">
        <v>5.8681000000000001</v>
      </c>
      <c r="G791">
        <v>5.8720970000000001</v>
      </c>
      <c r="H791">
        <v>3.9580058E-3</v>
      </c>
      <c r="I791">
        <v>3.1053000000000001E-2</v>
      </c>
      <c r="J791">
        <v>3.3738999999999998E-2</v>
      </c>
      <c r="K791">
        <v>8.6488518299999997E-2</v>
      </c>
      <c r="L791">
        <v>6.7449079999999998E-4</v>
      </c>
      <c r="M791">
        <v>0.96599999999999997</v>
      </c>
      <c r="N791">
        <v>1</v>
      </c>
    </row>
    <row r="792" spans="1:14" x14ac:dyDescent="0.25">
      <c r="A792" t="s">
        <v>143</v>
      </c>
      <c r="B792" t="s">
        <v>369</v>
      </c>
      <c r="C792" t="s">
        <v>18</v>
      </c>
      <c r="D792">
        <v>1</v>
      </c>
      <c r="E792">
        <v>1000</v>
      </c>
      <c r="F792">
        <v>2.8400000000000002E-2</v>
      </c>
      <c r="G792">
        <v>2.7997000000000001E-2</v>
      </c>
      <c r="H792">
        <v>-4.1951E-4</v>
      </c>
      <c r="I792">
        <v>1.9595000000000001E-2</v>
      </c>
      <c r="J792">
        <v>1.9585000000000002E-2</v>
      </c>
      <c r="K792">
        <v>-4.9077300000000001E-4</v>
      </c>
      <c r="L792">
        <v>-1.4762890000000001E-2</v>
      </c>
      <c r="M792">
        <v>0.95199999999999996</v>
      </c>
      <c r="N792">
        <v>0.28499999999999998</v>
      </c>
    </row>
    <row r="793" spans="1:14" x14ac:dyDescent="0.25">
      <c r="A793" t="s">
        <v>143</v>
      </c>
      <c r="B793" t="s">
        <v>370</v>
      </c>
      <c r="C793" t="s">
        <v>12</v>
      </c>
      <c r="D793">
        <v>1</v>
      </c>
      <c r="E793">
        <v>1000</v>
      </c>
      <c r="F793">
        <v>107.0774</v>
      </c>
      <c r="G793">
        <v>107.089074</v>
      </c>
      <c r="H793">
        <v>1.16649366E-2</v>
      </c>
      <c r="I793">
        <v>1.578128</v>
      </c>
      <c r="J793">
        <v>1.6046450000000001</v>
      </c>
      <c r="K793">
        <v>1.6803293800000001E-2</v>
      </c>
      <c r="L793">
        <v>1.089393E-4</v>
      </c>
      <c r="M793">
        <v>0.95799999999999996</v>
      </c>
      <c r="N793">
        <v>1</v>
      </c>
    </row>
    <row r="794" spans="1:14" x14ac:dyDescent="0.25">
      <c r="A794" t="s">
        <v>143</v>
      </c>
      <c r="B794" t="s">
        <v>370</v>
      </c>
      <c r="C794" t="s">
        <v>13</v>
      </c>
      <c r="D794">
        <v>1</v>
      </c>
      <c r="E794">
        <v>1000</v>
      </c>
      <c r="F794">
        <v>-4.7686000000000002</v>
      </c>
      <c r="G794">
        <v>-4.7655519999999996</v>
      </c>
      <c r="H794">
        <v>3.0893384000000002E-3</v>
      </c>
      <c r="I794">
        <v>0.58774599999999999</v>
      </c>
      <c r="J794">
        <v>0.59711700000000001</v>
      </c>
      <c r="K794">
        <v>1.5943225299999999E-2</v>
      </c>
      <c r="L794">
        <v>-6.4784499999999997E-4</v>
      </c>
      <c r="M794">
        <v>0.95499999999999996</v>
      </c>
      <c r="N794">
        <v>1</v>
      </c>
    </row>
    <row r="795" spans="1:14" x14ac:dyDescent="0.25">
      <c r="A795" t="s">
        <v>143</v>
      </c>
      <c r="B795" t="s">
        <v>370</v>
      </c>
      <c r="C795" t="s">
        <v>14</v>
      </c>
      <c r="D795">
        <v>1</v>
      </c>
      <c r="E795">
        <v>1000</v>
      </c>
      <c r="F795">
        <v>8.6966999999999999</v>
      </c>
      <c r="G795">
        <v>8.6985919999999997</v>
      </c>
      <c r="H795">
        <v>1.8935874999999999E-3</v>
      </c>
      <c r="I795">
        <v>0.34887299999999999</v>
      </c>
      <c r="J795">
        <v>0.35828599999999999</v>
      </c>
      <c r="K795">
        <v>2.69788309E-2</v>
      </c>
      <c r="L795">
        <v>2.177364E-4</v>
      </c>
      <c r="M795">
        <v>0.95499999999999996</v>
      </c>
      <c r="N795">
        <v>1</v>
      </c>
    </row>
    <row r="796" spans="1:14" x14ac:dyDescent="0.25">
      <c r="A796" t="s">
        <v>143</v>
      </c>
      <c r="B796" t="s">
        <v>370</v>
      </c>
      <c r="C796" t="s">
        <v>15</v>
      </c>
      <c r="D796">
        <v>1</v>
      </c>
      <c r="E796">
        <v>1000</v>
      </c>
      <c r="F796">
        <v>-1.6103000000000001</v>
      </c>
      <c r="G796">
        <v>-1.6094839999999999</v>
      </c>
      <c r="H796">
        <v>8.1092049999999998E-4</v>
      </c>
      <c r="I796">
        <v>0.37184099999999998</v>
      </c>
      <c r="J796">
        <v>0.38306000000000001</v>
      </c>
      <c r="K796">
        <v>3.01727644E-2</v>
      </c>
      <c r="L796">
        <v>-5.0358499999999997E-4</v>
      </c>
      <c r="M796">
        <v>0.95899999999999996</v>
      </c>
      <c r="N796">
        <v>0.99299999999999999</v>
      </c>
    </row>
    <row r="797" spans="1:14" x14ac:dyDescent="0.25">
      <c r="A797" t="s">
        <v>143</v>
      </c>
      <c r="B797" t="s">
        <v>370</v>
      </c>
      <c r="C797" t="s">
        <v>16</v>
      </c>
      <c r="D797">
        <v>1</v>
      </c>
      <c r="E797">
        <v>1000</v>
      </c>
      <c r="F797">
        <v>-7.9151999999999996</v>
      </c>
      <c r="G797">
        <v>-7.9312079999999998</v>
      </c>
      <c r="H797">
        <v>-1.6032364E-2</v>
      </c>
      <c r="I797">
        <v>0.43208800000000003</v>
      </c>
      <c r="J797">
        <v>0.44683299999999998</v>
      </c>
      <c r="K797">
        <v>3.4124420599999997E-2</v>
      </c>
      <c r="L797">
        <v>2.0255222000000002E-3</v>
      </c>
      <c r="M797">
        <v>0.95</v>
      </c>
      <c r="N797">
        <v>1</v>
      </c>
    </row>
    <row r="798" spans="1:14" x14ac:dyDescent="0.25">
      <c r="A798" t="s">
        <v>143</v>
      </c>
      <c r="B798" t="s">
        <v>370</v>
      </c>
      <c r="C798" t="s">
        <v>17</v>
      </c>
      <c r="D798">
        <v>1</v>
      </c>
      <c r="E798">
        <v>1000</v>
      </c>
      <c r="F798">
        <v>5.8681000000000001</v>
      </c>
      <c r="G798">
        <v>5.8675579999999998</v>
      </c>
      <c r="H798">
        <v>-5.8076600000000003E-4</v>
      </c>
      <c r="I798">
        <v>3.0595000000000001E-2</v>
      </c>
      <c r="J798">
        <v>3.4091000000000003E-2</v>
      </c>
      <c r="K798">
        <v>0.11426019630000001</v>
      </c>
      <c r="L798">
        <v>-9.8968999999999994E-5</v>
      </c>
      <c r="M798">
        <v>0.97499999999999998</v>
      </c>
      <c r="N798">
        <v>1</v>
      </c>
    </row>
    <row r="799" spans="1:14" x14ac:dyDescent="0.25">
      <c r="A799" t="s">
        <v>143</v>
      </c>
      <c r="B799" t="s">
        <v>370</v>
      </c>
      <c r="C799" t="s">
        <v>18</v>
      </c>
      <c r="D799">
        <v>1</v>
      </c>
      <c r="E799">
        <v>1000</v>
      </c>
      <c r="F799">
        <v>2.8400000000000002E-2</v>
      </c>
      <c r="G799">
        <v>2.8008000000000002E-2</v>
      </c>
      <c r="H799">
        <v>-4.0893400000000001E-4</v>
      </c>
      <c r="I799">
        <v>1.9851000000000001E-2</v>
      </c>
      <c r="J799">
        <v>1.9743E-2</v>
      </c>
      <c r="K799">
        <v>-5.4317100000000002E-3</v>
      </c>
      <c r="L799">
        <v>-1.4390705E-2</v>
      </c>
      <c r="M799">
        <v>0.94599999999999995</v>
      </c>
      <c r="N799">
        <v>0.28100000000000003</v>
      </c>
    </row>
    <row r="800" spans="1:14" x14ac:dyDescent="0.25">
      <c r="A800" t="s">
        <v>143</v>
      </c>
      <c r="B800" t="s">
        <v>371</v>
      </c>
      <c r="C800" t="s">
        <v>12</v>
      </c>
      <c r="D800">
        <v>1</v>
      </c>
      <c r="E800">
        <v>1000</v>
      </c>
      <c r="F800">
        <v>3.1354000000000002</v>
      </c>
      <c r="G800">
        <v>3.1316899999999999</v>
      </c>
      <c r="H800">
        <v>-3.7013359999999999E-3</v>
      </c>
      <c r="I800">
        <v>0.232991</v>
      </c>
      <c r="J800">
        <v>0.21824299999999999</v>
      </c>
      <c r="K800">
        <v>-6.3297806999999998E-2</v>
      </c>
      <c r="L800">
        <v>-1.1805019999999999E-3</v>
      </c>
      <c r="M800">
        <v>0.93600000000000005</v>
      </c>
      <c r="N800">
        <v>1</v>
      </c>
    </row>
    <row r="801" spans="1:14" x14ac:dyDescent="0.25">
      <c r="A801" t="s">
        <v>143</v>
      </c>
      <c r="B801" t="s">
        <v>371</v>
      </c>
      <c r="C801" t="s">
        <v>13</v>
      </c>
      <c r="D801">
        <v>1</v>
      </c>
      <c r="E801">
        <v>1000</v>
      </c>
      <c r="F801">
        <v>-0.44119999999999998</v>
      </c>
      <c r="G801">
        <v>-0.44505099999999997</v>
      </c>
      <c r="H801">
        <v>-3.8449869999999998E-3</v>
      </c>
      <c r="I801">
        <v>8.3735000000000004E-2</v>
      </c>
      <c r="J801">
        <v>8.0729999999999996E-2</v>
      </c>
      <c r="K801">
        <v>-3.5883287E-2</v>
      </c>
      <c r="L801">
        <v>8.7147160000000008E-3</v>
      </c>
      <c r="M801">
        <v>0.93799999999999994</v>
      </c>
      <c r="N801">
        <v>1</v>
      </c>
    </row>
    <row r="802" spans="1:14" x14ac:dyDescent="0.25">
      <c r="A802" t="s">
        <v>143</v>
      </c>
      <c r="B802" t="s">
        <v>371</v>
      </c>
      <c r="C802" t="s">
        <v>14</v>
      </c>
      <c r="D802">
        <v>1</v>
      </c>
      <c r="E802">
        <v>1000</v>
      </c>
      <c r="F802">
        <v>-7.3000000000000001E-3</v>
      </c>
      <c r="G802">
        <v>-9.5840000000000005E-3</v>
      </c>
      <c r="H802">
        <v>-2.2697139999999999E-3</v>
      </c>
      <c r="I802">
        <v>4.7562E-2</v>
      </c>
      <c r="J802">
        <v>4.9466000000000003E-2</v>
      </c>
      <c r="K802">
        <v>4.0036334700000002E-2</v>
      </c>
      <c r="L802">
        <v>0.31032592339999998</v>
      </c>
      <c r="M802">
        <v>0.95699999999999996</v>
      </c>
      <c r="N802">
        <v>4.5999999999999999E-2</v>
      </c>
    </row>
    <row r="803" spans="1:14" x14ac:dyDescent="0.25">
      <c r="A803" t="s">
        <v>143</v>
      </c>
      <c r="B803" t="s">
        <v>371</v>
      </c>
      <c r="C803" t="s">
        <v>15</v>
      </c>
      <c r="D803">
        <v>1</v>
      </c>
      <c r="E803">
        <v>1000</v>
      </c>
      <c r="F803">
        <v>-0.45419999999999999</v>
      </c>
      <c r="G803">
        <v>-0.45183899999999999</v>
      </c>
      <c r="H803">
        <v>2.3493969E-3</v>
      </c>
      <c r="I803">
        <v>5.3092E-2</v>
      </c>
      <c r="J803">
        <v>5.1187999999999997E-2</v>
      </c>
      <c r="K803">
        <v>-3.5864363000000003E-2</v>
      </c>
      <c r="L803">
        <v>-5.1727400000000003E-3</v>
      </c>
      <c r="M803">
        <v>0.93899999999999995</v>
      </c>
      <c r="N803">
        <v>1</v>
      </c>
    </row>
    <row r="804" spans="1:14" x14ac:dyDescent="0.25">
      <c r="A804" t="s">
        <v>143</v>
      </c>
      <c r="B804" t="s">
        <v>371</v>
      </c>
      <c r="C804" t="s">
        <v>16</v>
      </c>
      <c r="D804">
        <v>1</v>
      </c>
      <c r="E804">
        <v>1000</v>
      </c>
      <c r="F804">
        <v>-8.2500000000000004E-2</v>
      </c>
      <c r="G804">
        <v>-8.4774000000000002E-2</v>
      </c>
      <c r="H804">
        <v>-2.2318440000000002E-3</v>
      </c>
      <c r="I804">
        <v>6.3813999999999996E-2</v>
      </c>
      <c r="J804">
        <v>6.3322000000000003E-2</v>
      </c>
      <c r="K804">
        <v>-7.712216E-3</v>
      </c>
      <c r="L804">
        <v>2.7038750300000001E-2</v>
      </c>
      <c r="M804">
        <v>0.94799999999999995</v>
      </c>
      <c r="N804">
        <v>0.26700000000000002</v>
      </c>
    </row>
    <row r="805" spans="1:14" x14ac:dyDescent="0.25">
      <c r="A805" t="s">
        <v>143</v>
      </c>
      <c r="B805" t="s">
        <v>371</v>
      </c>
      <c r="C805" t="s">
        <v>17</v>
      </c>
      <c r="D805">
        <v>1</v>
      </c>
      <c r="E805">
        <v>1000</v>
      </c>
      <c r="F805">
        <v>-0.12590000000000001</v>
      </c>
      <c r="G805">
        <v>-0.12592600000000001</v>
      </c>
      <c r="H805">
        <v>2.03007E-5</v>
      </c>
      <c r="I805">
        <v>5.9360000000000003E-3</v>
      </c>
      <c r="J805">
        <v>5.9090000000000002E-3</v>
      </c>
      <c r="K805">
        <v>-4.5465050000000002E-3</v>
      </c>
      <c r="L805">
        <v>-1.6118600000000001E-4</v>
      </c>
      <c r="M805">
        <v>0.94799999999999995</v>
      </c>
      <c r="N805">
        <v>1</v>
      </c>
    </row>
    <row r="806" spans="1:14" x14ac:dyDescent="0.25">
      <c r="A806" t="s">
        <v>143</v>
      </c>
      <c r="B806" t="s">
        <v>371</v>
      </c>
      <c r="C806" t="s">
        <v>18</v>
      </c>
      <c r="D806">
        <v>1</v>
      </c>
      <c r="E806">
        <v>1000</v>
      </c>
      <c r="F806">
        <v>-6.9999999999999999E-4</v>
      </c>
      <c r="G806">
        <v>-7.8799999999999996E-4</v>
      </c>
      <c r="H806">
        <v>-8.0094999999999998E-5</v>
      </c>
      <c r="I806">
        <v>3.045E-3</v>
      </c>
      <c r="J806">
        <v>2.9390000000000002E-3</v>
      </c>
      <c r="K806">
        <v>-3.4984674E-2</v>
      </c>
      <c r="L806">
        <v>0.1131747882</v>
      </c>
      <c r="M806">
        <v>0.94099999999999995</v>
      </c>
      <c r="N806">
        <v>6.7000000000000004E-2</v>
      </c>
    </row>
    <row r="807" spans="1:14" x14ac:dyDescent="0.25">
      <c r="A807" t="s">
        <v>143</v>
      </c>
      <c r="B807" t="s">
        <v>372</v>
      </c>
      <c r="C807" t="s">
        <v>12</v>
      </c>
      <c r="D807">
        <v>1</v>
      </c>
      <c r="E807">
        <v>1000</v>
      </c>
      <c r="F807">
        <v>3.1354000000000002</v>
      </c>
      <c r="G807">
        <v>3.0708859999999998</v>
      </c>
      <c r="H807">
        <v>-6.4505093999999999E-2</v>
      </c>
      <c r="I807">
        <v>0.22532099999999999</v>
      </c>
      <c r="J807">
        <v>0.21113999999999999</v>
      </c>
      <c r="K807">
        <v>-6.2938305E-2</v>
      </c>
      <c r="L807">
        <v>-2.0573220999999999E-2</v>
      </c>
      <c r="M807">
        <v>0.93400000000000005</v>
      </c>
      <c r="N807">
        <v>1</v>
      </c>
    </row>
    <row r="808" spans="1:14" x14ac:dyDescent="0.25">
      <c r="A808" t="s">
        <v>143</v>
      </c>
      <c r="B808" t="s">
        <v>372</v>
      </c>
      <c r="C808" t="s">
        <v>13</v>
      </c>
      <c r="D808">
        <v>1</v>
      </c>
      <c r="E808">
        <v>1000</v>
      </c>
      <c r="F808">
        <v>-0.44119999999999998</v>
      </c>
      <c r="G808">
        <v>-0.36026900000000001</v>
      </c>
      <c r="H808">
        <v>8.0937769500000006E-2</v>
      </c>
      <c r="I808">
        <v>8.1559999999999994E-2</v>
      </c>
      <c r="J808">
        <v>7.8170000000000003E-2</v>
      </c>
      <c r="K808">
        <v>-4.1565775999999999E-2</v>
      </c>
      <c r="L808">
        <v>-0.18344655000000001</v>
      </c>
      <c r="M808">
        <v>0.79900000000000004</v>
      </c>
      <c r="N808">
        <v>0.997</v>
      </c>
    </row>
    <row r="809" spans="1:14" x14ac:dyDescent="0.25">
      <c r="A809" t="s">
        <v>143</v>
      </c>
      <c r="B809" t="s">
        <v>372</v>
      </c>
      <c r="C809" t="s">
        <v>14</v>
      </c>
      <c r="D809">
        <v>1</v>
      </c>
      <c r="E809">
        <v>1000</v>
      </c>
      <c r="F809">
        <v>-7.3000000000000001E-3</v>
      </c>
      <c r="G809">
        <v>-1.6521000000000001E-2</v>
      </c>
      <c r="H809">
        <v>-9.2067820000000002E-3</v>
      </c>
      <c r="I809">
        <v>4.4602999999999997E-2</v>
      </c>
      <c r="J809">
        <v>4.7433999999999997E-2</v>
      </c>
      <c r="K809">
        <v>6.3485520200000006E-2</v>
      </c>
      <c r="L809">
        <v>1.2587942539000001</v>
      </c>
      <c r="M809">
        <v>0.96099999999999997</v>
      </c>
      <c r="N809">
        <v>4.9000000000000002E-2</v>
      </c>
    </row>
    <row r="810" spans="1:14" x14ac:dyDescent="0.25">
      <c r="A810" t="s">
        <v>143</v>
      </c>
      <c r="B810" t="s">
        <v>372</v>
      </c>
      <c r="C810" t="s">
        <v>15</v>
      </c>
      <c r="D810">
        <v>1</v>
      </c>
      <c r="E810">
        <v>1000</v>
      </c>
      <c r="F810">
        <v>-0.45419999999999999</v>
      </c>
      <c r="G810">
        <v>-0.45639600000000002</v>
      </c>
      <c r="H810">
        <v>-2.2077109999999998E-3</v>
      </c>
      <c r="I810">
        <v>5.1686000000000003E-2</v>
      </c>
      <c r="J810">
        <v>4.9574E-2</v>
      </c>
      <c r="K810">
        <v>-4.0858272000000001E-2</v>
      </c>
      <c r="L810">
        <v>4.8607854000000004E-3</v>
      </c>
      <c r="M810">
        <v>0.95099999999999996</v>
      </c>
      <c r="N810">
        <v>1</v>
      </c>
    </row>
    <row r="811" spans="1:14" x14ac:dyDescent="0.25">
      <c r="A811" t="s">
        <v>143</v>
      </c>
      <c r="B811" t="s">
        <v>372</v>
      </c>
      <c r="C811" t="s">
        <v>16</v>
      </c>
      <c r="D811">
        <v>1</v>
      </c>
      <c r="E811">
        <v>1000</v>
      </c>
      <c r="F811">
        <v>-8.2500000000000004E-2</v>
      </c>
      <c r="G811">
        <v>-0.10545300000000001</v>
      </c>
      <c r="H811">
        <v>-2.2910376E-2</v>
      </c>
      <c r="I811">
        <v>6.1419000000000001E-2</v>
      </c>
      <c r="J811">
        <v>6.1282999999999997E-2</v>
      </c>
      <c r="K811">
        <v>-2.20784E-3</v>
      </c>
      <c r="L811">
        <v>0.27755883390000002</v>
      </c>
      <c r="M811">
        <v>0.93</v>
      </c>
      <c r="N811">
        <v>0.40400000000000003</v>
      </c>
    </row>
    <row r="812" spans="1:14" x14ac:dyDescent="0.25">
      <c r="A812" t="s">
        <v>143</v>
      </c>
      <c r="B812" t="s">
        <v>372</v>
      </c>
      <c r="C812" t="s">
        <v>17</v>
      </c>
      <c r="D812">
        <v>1</v>
      </c>
      <c r="E812">
        <v>1000</v>
      </c>
      <c r="F812">
        <v>-0.12590000000000001</v>
      </c>
      <c r="G812">
        <v>-0.13559299999999999</v>
      </c>
      <c r="H812">
        <v>-9.6468179999999997E-3</v>
      </c>
      <c r="I812">
        <v>5.7660000000000003E-3</v>
      </c>
      <c r="J812">
        <v>5.7060000000000001E-3</v>
      </c>
      <c r="K812">
        <v>-1.0482523000000001E-2</v>
      </c>
      <c r="L812">
        <v>7.6594700500000001E-2</v>
      </c>
      <c r="M812">
        <v>0.59</v>
      </c>
      <c r="N812">
        <v>1</v>
      </c>
    </row>
    <row r="813" spans="1:14" x14ac:dyDescent="0.25">
      <c r="A813" t="s">
        <v>143</v>
      </c>
      <c r="B813" t="s">
        <v>372</v>
      </c>
      <c r="C813" t="s">
        <v>18</v>
      </c>
      <c r="D813">
        <v>1</v>
      </c>
      <c r="E813">
        <v>1000</v>
      </c>
      <c r="F813">
        <v>-6.9999999999999999E-4</v>
      </c>
      <c r="G813">
        <v>-1.7799999999999999E-4</v>
      </c>
      <c r="H813">
        <v>5.3019720000000001E-4</v>
      </c>
      <c r="I813">
        <v>2.9099999999999998E-3</v>
      </c>
      <c r="J813">
        <v>2.82E-3</v>
      </c>
      <c r="K813">
        <v>-3.0919421999999998E-2</v>
      </c>
      <c r="L813">
        <v>-0.74917127400000005</v>
      </c>
      <c r="M813">
        <v>0.92900000000000005</v>
      </c>
      <c r="N813">
        <v>6.5000000000000002E-2</v>
      </c>
    </row>
    <row r="814" spans="1:14" x14ac:dyDescent="0.25">
      <c r="A814" t="s">
        <v>143</v>
      </c>
      <c r="B814" t="s">
        <v>373</v>
      </c>
      <c r="C814" t="s">
        <v>12</v>
      </c>
      <c r="D814">
        <v>1</v>
      </c>
      <c r="E814">
        <v>1000</v>
      </c>
      <c r="F814">
        <v>3.1354000000000002</v>
      </c>
      <c r="G814">
        <v>3.1320410000000001</v>
      </c>
      <c r="H814">
        <v>-3.3498949999999999E-3</v>
      </c>
      <c r="I814">
        <v>0.200431</v>
      </c>
      <c r="J814">
        <v>0.19248199999999999</v>
      </c>
      <c r="K814">
        <v>-3.9659288000000001E-2</v>
      </c>
      <c r="L814">
        <v>-1.068414E-3</v>
      </c>
      <c r="M814">
        <v>0.94199999999999995</v>
      </c>
      <c r="N814">
        <v>1</v>
      </c>
    </row>
    <row r="815" spans="1:14" x14ac:dyDescent="0.25">
      <c r="A815" t="s">
        <v>143</v>
      </c>
      <c r="B815" t="s">
        <v>373</v>
      </c>
      <c r="C815" t="s">
        <v>13</v>
      </c>
      <c r="D815">
        <v>1</v>
      </c>
      <c r="E815">
        <v>1000</v>
      </c>
      <c r="F815">
        <v>-0.44119999999999998</v>
      </c>
      <c r="G815">
        <v>-0.44549699999999998</v>
      </c>
      <c r="H815">
        <v>-4.290355E-3</v>
      </c>
      <c r="I815">
        <v>7.4695999999999999E-2</v>
      </c>
      <c r="J815">
        <v>6.9973999999999995E-2</v>
      </c>
      <c r="K815">
        <v>-6.3220643000000007E-2</v>
      </c>
      <c r="L815">
        <v>9.7241484999999999E-3</v>
      </c>
      <c r="M815">
        <v>0.92800000000000005</v>
      </c>
      <c r="N815">
        <v>1</v>
      </c>
    </row>
    <row r="816" spans="1:14" x14ac:dyDescent="0.25">
      <c r="A816" t="s">
        <v>143</v>
      </c>
      <c r="B816" t="s">
        <v>373</v>
      </c>
      <c r="C816" t="s">
        <v>14</v>
      </c>
      <c r="D816">
        <v>1</v>
      </c>
      <c r="E816">
        <v>1000</v>
      </c>
      <c r="F816">
        <v>-7.3000000000000001E-3</v>
      </c>
      <c r="G816">
        <v>-7.8220000000000008E-3</v>
      </c>
      <c r="H816">
        <v>-5.0774700000000002E-4</v>
      </c>
      <c r="I816">
        <v>4.1917999999999997E-2</v>
      </c>
      <c r="J816">
        <v>4.2979000000000003E-2</v>
      </c>
      <c r="K816">
        <v>2.5319254100000001E-2</v>
      </c>
      <c r="L816">
        <v>6.9421544000000002E-2</v>
      </c>
      <c r="M816">
        <v>0.95299999999999996</v>
      </c>
      <c r="N816">
        <v>5.0999999999999997E-2</v>
      </c>
    </row>
    <row r="817" spans="1:14" x14ac:dyDescent="0.25">
      <c r="A817" t="s">
        <v>143</v>
      </c>
      <c r="B817" t="s">
        <v>373</v>
      </c>
      <c r="C817" t="s">
        <v>15</v>
      </c>
      <c r="D817">
        <v>1</v>
      </c>
      <c r="E817">
        <v>1000</v>
      </c>
      <c r="F817">
        <v>-0.45419999999999999</v>
      </c>
      <c r="G817">
        <v>-0.45200800000000002</v>
      </c>
      <c r="H817">
        <v>2.1799899000000001E-3</v>
      </c>
      <c r="I817">
        <v>4.7518999999999999E-2</v>
      </c>
      <c r="J817">
        <v>4.5051000000000001E-2</v>
      </c>
      <c r="K817">
        <v>-5.1931553999999998E-2</v>
      </c>
      <c r="L817">
        <v>-4.799752E-3</v>
      </c>
      <c r="M817">
        <v>0.93100000000000005</v>
      </c>
      <c r="N817">
        <v>1</v>
      </c>
    </row>
    <row r="818" spans="1:14" x14ac:dyDescent="0.25">
      <c r="A818" t="s">
        <v>143</v>
      </c>
      <c r="B818" t="s">
        <v>373</v>
      </c>
      <c r="C818" t="s">
        <v>16</v>
      </c>
      <c r="D818">
        <v>1</v>
      </c>
      <c r="E818">
        <v>1000</v>
      </c>
      <c r="F818">
        <v>-8.2500000000000004E-2</v>
      </c>
      <c r="G818">
        <v>-8.5709999999999995E-2</v>
      </c>
      <c r="H818">
        <v>-3.167918E-3</v>
      </c>
      <c r="I818">
        <v>5.4516000000000002E-2</v>
      </c>
      <c r="J818">
        <v>5.3904000000000001E-2</v>
      </c>
      <c r="K818">
        <v>-1.1221953E-2</v>
      </c>
      <c r="L818">
        <v>3.8379276599999998E-2</v>
      </c>
      <c r="M818">
        <v>0.94799999999999995</v>
      </c>
      <c r="N818">
        <v>0.37</v>
      </c>
    </row>
    <row r="819" spans="1:14" x14ac:dyDescent="0.25">
      <c r="A819" t="s">
        <v>143</v>
      </c>
      <c r="B819" t="s">
        <v>373</v>
      </c>
      <c r="C819" t="s">
        <v>17</v>
      </c>
      <c r="D819">
        <v>1</v>
      </c>
      <c r="E819">
        <v>1000</v>
      </c>
      <c r="F819">
        <v>-0.12590000000000001</v>
      </c>
      <c r="G819">
        <v>-0.125584</v>
      </c>
      <c r="H819">
        <v>3.6228459999999998E-4</v>
      </c>
      <c r="I819">
        <v>4.9049999999999996E-3</v>
      </c>
      <c r="J819">
        <v>4.8789999999999997E-3</v>
      </c>
      <c r="K819">
        <v>-5.324217E-3</v>
      </c>
      <c r="L819">
        <v>-2.8765010000000001E-3</v>
      </c>
      <c r="M819">
        <v>0.94799999999999995</v>
      </c>
      <c r="N819">
        <v>1</v>
      </c>
    </row>
    <row r="820" spans="1:14" x14ac:dyDescent="0.25">
      <c r="A820" t="s">
        <v>143</v>
      </c>
      <c r="B820" t="s">
        <v>373</v>
      </c>
      <c r="C820" t="s">
        <v>18</v>
      </c>
      <c r="D820">
        <v>1</v>
      </c>
      <c r="E820">
        <v>1000</v>
      </c>
      <c r="F820">
        <v>-6.9999999999999999E-4</v>
      </c>
      <c r="G820">
        <v>-7.7099999999999998E-4</v>
      </c>
      <c r="H820">
        <v>-6.3095000000000005E-5</v>
      </c>
      <c r="I820">
        <v>2.5349999999999999E-3</v>
      </c>
      <c r="J820">
        <v>2.4580000000000001E-3</v>
      </c>
      <c r="K820">
        <v>-3.0406991000000001E-2</v>
      </c>
      <c r="L820">
        <v>8.9153712299999993E-2</v>
      </c>
      <c r="M820">
        <v>0.94399999999999995</v>
      </c>
      <c r="N820">
        <v>0.06</v>
      </c>
    </row>
    <row r="821" spans="1:14" x14ac:dyDescent="0.25">
      <c r="A821" t="s">
        <v>143</v>
      </c>
      <c r="B821" t="s">
        <v>374</v>
      </c>
      <c r="C821" t="s">
        <v>12</v>
      </c>
      <c r="D821">
        <v>1</v>
      </c>
      <c r="E821">
        <v>1000</v>
      </c>
      <c r="F821">
        <v>3.1354000000000002</v>
      </c>
      <c r="G821">
        <v>3.1341890000000001</v>
      </c>
      <c r="H821">
        <v>-1.201768E-3</v>
      </c>
      <c r="I821">
        <v>0.201927</v>
      </c>
      <c r="J821">
        <v>0.19376299999999999</v>
      </c>
      <c r="K821">
        <v>-4.0430455999999997E-2</v>
      </c>
      <c r="L821">
        <v>-3.8329100000000001E-4</v>
      </c>
      <c r="M821">
        <v>0.94099999999999995</v>
      </c>
      <c r="N821">
        <v>1</v>
      </c>
    </row>
    <row r="822" spans="1:14" x14ac:dyDescent="0.25">
      <c r="A822" t="s">
        <v>143</v>
      </c>
      <c r="B822" t="s">
        <v>374</v>
      </c>
      <c r="C822" t="s">
        <v>13</v>
      </c>
      <c r="D822">
        <v>1</v>
      </c>
      <c r="E822">
        <v>1000</v>
      </c>
      <c r="F822">
        <v>-0.44119999999999998</v>
      </c>
      <c r="G822">
        <v>-0.44353799999999999</v>
      </c>
      <c r="H822">
        <v>-2.3315649999999999E-3</v>
      </c>
      <c r="I822">
        <v>7.5169E-2</v>
      </c>
      <c r="J822">
        <v>7.0361000000000007E-2</v>
      </c>
      <c r="K822">
        <v>-6.3965206999999996E-2</v>
      </c>
      <c r="L822">
        <v>5.2845243000000002E-3</v>
      </c>
      <c r="M822">
        <v>0.92400000000000004</v>
      </c>
      <c r="N822">
        <v>1</v>
      </c>
    </row>
    <row r="823" spans="1:14" x14ac:dyDescent="0.25">
      <c r="A823" t="s">
        <v>143</v>
      </c>
      <c r="B823" t="s">
        <v>374</v>
      </c>
      <c r="C823" t="s">
        <v>14</v>
      </c>
      <c r="D823">
        <v>1</v>
      </c>
      <c r="E823">
        <v>1000</v>
      </c>
      <c r="F823">
        <v>-7.3000000000000001E-3</v>
      </c>
      <c r="G823">
        <v>-8.0210000000000004E-3</v>
      </c>
      <c r="H823">
        <v>-7.0700299999999999E-4</v>
      </c>
      <c r="I823">
        <v>4.2403999999999997E-2</v>
      </c>
      <c r="J823">
        <v>4.3225E-2</v>
      </c>
      <c r="K823">
        <v>1.9341349599999998E-2</v>
      </c>
      <c r="L823">
        <v>9.6664806699999994E-2</v>
      </c>
      <c r="M823">
        <v>0.95399999999999996</v>
      </c>
      <c r="N823">
        <v>0.05</v>
      </c>
    </row>
    <row r="824" spans="1:14" x14ac:dyDescent="0.25">
      <c r="A824" t="s">
        <v>143</v>
      </c>
      <c r="B824" t="s">
        <v>374</v>
      </c>
      <c r="C824" t="s">
        <v>15</v>
      </c>
      <c r="D824">
        <v>1</v>
      </c>
      <c r="E824">
        <v>1000</v>
      </c>
      <c r="F824">
        <v>-0.45419999999999999</v>
      </c>
      <c r="G824">
        <v>-0.45296700000000001</v>
      </c>
      <c r="H824">
        <v>1.2215023000000001E-3</v>
      </c>
      <c r="I824">
        <v>4.7912999999999997E-2</v>
      </c>
      <c r="J824">
        <v>4.5297999999999998E-2</v>
      </c>
      <c r="K824">
        <v>-5.4581119999999997E-2</v>
      </c>
      <c r="L824">
        <v>-2.6894200000000001E-3</v>
      </c>
      <c r="M824">
        <v>0.92700000000000005</v>
      </c>
      <c r="N824">
        <v>1</v>
      </c>
    </row>
    <row r="825" spans="1:14" x14ac:dyDescent="0.25">
      <c r="A825" t="s">
        <v>143</v>
      </c>
      <c r="B825" t="s">
        <v>374</v>
      </c>
      <c r="C825" t="s">
        <v>16</v>
      </c>
      <c r="D825">
        <v>1</v>
      </c>
      <c r="E825">
        <v>1000</v>
      </c>
      <c r="F825">
        <v>-8.2500000000000004E-2</v>
      </c>
      <c r="G825">
        <v>-8.6063000000000001E-2</v>
      </c>
      <c r="H825">
        <v>-3.5205940000000002E-3</v>
      </c>
      <c r="I825">
        <v>5.4747999999999998E-2</v>
      </c>
      <c r="J825">
        <v>5.4198999999999997E-2</v>
      </c>
      <c r="K825">
        <v>-1.001034E-2</v>
      </c>
      <c r="L825">
        <v>4.2651940999999999E-2</v>
      </c>
      <c r="M825">
        <v>0.94899999999999995</v>
      </c>
      <c r="N825">
        <v>0.37</v>
      </c>
    </row>
    <row r="826" spans="1:14" x14ac:dyDescent="0.25">
      <c r="A826" t="s">
        <v>143</v>
      </c>
      <c r="B826" t="s">
        <v>374</v>
      </c>
      <c r="C826" t="s">
        <v>17</v>
      </c>
      <c r="D826">
        <v>1</v>
      </c>
      <c r="E826">
        <v>1000</v>
      </c>
      <c r="F826">
        <v>-0.12590000000000001</v>
      </c>
      <c r="G826">
        <v>-0.12590899999999999</v>
      </c>
      <c r="H826">
        <v>3.7107899999999998E-5</v>
      </c>
      <c r="I826">
        <v>4.9560000000000003E-3</v>
      </c>
      <c r="J826">
        <v>4.9160000000000002E-3</v>
      </c>
      <c r="K826">
        <v>-8.1761660000000003E-3</v>
      </c>
      <c r="L826">
        <v>-2.9463299999999998E-4</v>
      </c>
      <c r="M826">
        <v>0.94699999999999995</v>
      </c>
      <c r="N826">
        <v>1</v>
      </c>
    </row>
    <row r="827" spans="1:14" x14ac:dyDescent="0.25">
      <c r="A827" t="s">
        <v>143</v>
      </c>
      <c r="B827" t="s">
        <v>374</v>
      </c>
      <c r="C827" t="s">
        <v>18</v>
      </c>
      <c r="D827">
        <v>1</v>
      </c>
      <c r="E827">
        <v>1000</v>
      </c>
      <c r="F827">
        <v>-6.9999999999999999E-4</v>
      </c>
      <c r="G827">
        <v>-7.6300000000000001E-4</v>
      </c>
      <c r="H827">
        <v>-5.4833999999999997E-5</v>
      </c>
      <c r="I827">
        <v>2.5600000000000002E-3</v>
      </c>
      <c r="J827">
        <v>2.4750000000000002E-3</v>
      </c>
      <c r="K827">
        <v>-3.3277800000000003E-2</v>
      </c>
      <c r="L827">
        <v>7.7481077300000006E-2</v>
      </c>
      <c r="M827">
        <v>0.94699999999999995</v>
      </c>
      <c r="N827">
        <v>5.7000000000000002E-2</v>
      </c>
    </row>
    <row r="828" spans="1:14" x14ac:dyDescent="0.25">
      <c r="A828" t="s">
        <v>143</v>
      </c>
      <c r="B828" t="s">
        <v>637</v>
      </c>
      <c r="C828" t="s">
        <v>12</v>
      </c>
      <c r="D828">
        <v>1</v>
      </c>
      <c r="E828">
        <v>959</v>
      </c>
      <c r="F828">
        <v>107.0774</v>
      </c>
      <c r="G828">
        <v>107.10290999999999</v>
      </c>
      <c r="H828">
        <v>2.55018352E-2</v>
      </c>
      <c r="I828">
        <v>1.5830500000000001</v>
      </c>
      <c r="J828">
        <v>1.594333</v>
      </c>
      <c r="K828">
        <v>7.1275775000000001E-3</v>
      </c>
      <c r="L828">
        <v>2.381626E-4</v>
      </c>
      <c r="M828">
        <v>0.94890510949999995</v>
      </c>
      <c r="N828">
        <v>1</v>
      </c>
    </row>
    <row r="829" spans="1:14" x14ac:dyDescent="0.25">
      <c r="A829" t="s">
        <v>143</v>
      </c>
      <c r="B829" t="s">
        <v>637</v>
      </c>
      <c r="C829" t="s">
        <v>13</v>
      </c>
      <c r="D829">
        <v>1</v>
      </c>
      <c r="E829">
        <v>959</v>
      </c>
      <c r="F829">
        <v>-4.7686000000000002</v>
      </c>
      <c r="G829">
        <v>-4.7689709999999996</v>
      </c>
      <c r="H829">
        <v>-3.2968299999999999E-4</v>
      </c>
      <c r="I829">
        <v>0.60289499999999996</v>
      </c>
      <c r="J829">
        <v>0.59368200000000004</v>
      </c>
      <c r="K829">
        <v>-1.5280815999999999E-2</v>
      </c>
      <c r="L829">
        <v>6.9135700000000003E-5</v>
      </c>
      <c r="M829">
        <v>0.94264859229999998</v>
      </c>
      <c r="N829">
        <v>1</v>
      </c>
    </row>
    <row r="830" spans="1:14" x14ac:dyDescent="0.25">
      <c r="A830" t="s">
        <v>143</v>
      </c>
      <c r="B830" t="s">
        <v>637</v>
      </c>
      <c r="C830" t="s">
        <v>14</v>
      </c>
      <c r="D830">
        <v>1</v>
      </c>
      <c r="E830">
        <v>959</v>
      </c>
      <c r="F830">
        <v>8.6966999999999999</v>
      </c>
      <c r="G830">
        <v>8.7094799999999992</v>
      </c>
      <c r="H830">
        <v>1.27817331E-2</v>
      </c>
      <c r="I830">
        <v>0.34533700000000001</v>
      </c>
      <c r="J830">
        <v>0.35626999999999998</v>
      </c>
      <c r="K830">
        <v>3.1658183499999999E-2</v>
      </c>
      <c r="L830">
        <v>1.4697224E-3</v>
      </c>
      <c r="M830">
        <v>0.95516162670000004</v>
      </c>
      <c r="N830">
        <v>1</v>
      </c>
    </row>
    <row r="831" spans="1:14" x14ac:dyDescent="0.25">
      <c r="A831" t="s">
        <v>143</v>
      </c>
      <c r="B831" t="s">
        <v>637</v>
      </c>
      <c r="C831" t="s">
        <v>15</v>
      </c>
      <c r="D831">
        <v>1</v>
      </c>
      <c r="E831">
        <v>959</v>
      </c>
      <c r="F831">
        <v>-1.6103000000000001</v>
      </c>
      <c r="G831">
        <v>-1.6101460000000001</v>
      </c>
      <c r="H831">
        <v>1.4865550000000001E-4</v>
      </c>
      <c r="I831">
        <v>0.38348500000000002</v>
      </c>
      <c r="J831">
        <v>0.38129400000000002</v>
      </c>
      <c r="K831">
        <v>-5.7124680000000001E-3</v>
      </c>
      <c r="L831">
        <v>-9.2316000000000002E-5</v>
      </c>
      <c r="M831">
        <v>0.95099061519999994</v>
      </c>
      <c r="N831">
        <v>0.98748696560000004</v>
      </c>
    </row>
    <row r="832" spans="1:14" x14ac:dyDescent="0.25">
      <c r="A832" t="s">
        <v>143</v>
      </c>
      <c r="B832" t="s">
        <v>637</v>
      </c>
      <c r="C832" t="s">
        <v>16</v>
      </c>
      <c r="D832">
        <v>1</v>
      </c>
      <c r="E832">
        <v>959</v>
      </c>
      <c r="F832">
        <v>-7.9151999999999996</v>
      </c>
      <c r="G832">
        <v>-7.9330309999999997</v>
      </c>
      <c r="H832">
        <v>-1.7855049000000001E-2</v>
      </c>
      <c r="I832">
        <v>0.427008</v>
      </c>
      <c r="J832">
        <v>0.44436700000000001</v>
      </c>
      <c r="K832">
        <v>4.0652943699999999E-2</v>
      </c>
      <c r="L832">
        <v>2.2557993999999999E-3</v>
      </c>
      <c r="M832">
        <v>0.96454640250000001</v>
      </c>
      <c r="N832">
        <v>1</v>
      </c>
    </row>
    <row r="833" spans="1:14" x14ac:dyDescent="0.25">
      <c r="A833" t="s">
        <v>143</v>
      </c>
      <c r="B833" t="s">
        <v>637</v>
      </c>
      <c r="C833" t="s">
        <v>17</v>
      </c>
      <c r="D833">
        <v>1</v>
      </c>
      <c r="E833">
        <v>959</v>
      </c>
      <c r="F833">
        <v>5.8681000000000001</v>
      </c>
      <c r="G833">
        <v>5.8694860000000002</v>
      </c>
      <c r="H833">
        <v>1.3472813E-3</v>
      </c>
      <c r="I833">
        <v>3.2754999999999999E-2</v>
      </c>
      <c r="J833">
        <v>3.3763000000000001E-2</v>
      </c>
      <c r="K833">
        <v>3.0800078599999999E-2</v>
      </c>
      <c r="L833">
        <v>2.2959259999999999E-4</v>
      </c>
      <c r="M833">
        <v>0.95516162670000004</v>
      </c>
      <c r="N833">
        <v>1</v>
      </c>
    </row>
    <row r="834" spans="1:14" x14ac:dyDescent="0.25">
      <c r="A834" t="s">
        <v>143</v>
      </c>
      <c r="B834" t="s">
        <v>637</v>
      </c>
      <c r="C834" t="s">
        <v>18</v>
      </c>
      <c r="D834">
        <v>1</v>
      </c>
      <c r="E834">
        <v>959</v>
      </c>
      <c r="F834">
        <v>2.8400000000000002E-2</v>
      </c>
      <c r="G834">
        <v>2.7678999999999999E-2</v>
      </c>
      <c r="H834">
        <v>-7.3746200000000004E-4</v>
      </c>
      <c r="I834">
        <v>1.9944E-2</v>
      </c>
      <c r="J834">
        <v>1.9578999999999999E-2</v>
      </c>
      <c r="K834">
        <v>-1.8296153999999999E-2</v>
      </c>
      <c r="L834">
        <v>-2.5951882999999999E-2</v>
      </c>
      <c r="M834">
        <v>0.94994786239999995</v>
      </c>
      <c r="N834">
        <v>0.29927007300000003</v>
      </c>
    </row>
    <row r="835" spans="1:14" x14ac:dyDescent="0.25">
      <c r="A835" t="s">
        <v>143</v>
      </c>
      <c r="B835" t="s">
        <v>639</v>
      </c>
      <c r="C835" t="s">
        <v>12</v>
      </c>
      <c r="D835">
        <v>1</v>
      </c>
      <c r="E835">
        <v>880</v>
      </c>
      <c r="F835">
        <v>3.1354000000000002</v>
      </c>
      <c r="G835">
        <v>3.1335540000000002</v>
      </c>
      <c r="H835">
        <v>-1.836917E-3</v>
      </c>
      <c r="I835">
        <v>0.20314099999999999</v>
      </c>
      <c r="J835">
        <v>0.19259000000000001</v>
      </c>
      <c r="K835">
        <v>-5.1940703999999997E-2</v>
      </c>
      <c r="L835">
        <v>-5.8586499999999998E-4</v>
      </c>
      <c r="M835">
        <v>0.93977272730000005</v>
      </c>
      <c r="N835">
        <v>1</v>
      </c>
    </row>
    <row r="836" spans="1:14" x14ac:dyDescent="0.25">
      <c r="A836" t="s">
        <v>143</v>
      </c>
      <c r="B836" t="s">
        <v>639</v>
      </c>
      <c r="C836" t="s">
        <v>13</v>
      </c>
      <c r="D836">
        <v>1</v>
      </c>
      <c r="E836">
        <v>880</v>
      </c>
      <c r="F836">
        <v>-0.44119999999999998</v>
      </c>
      <c r="G836">
        <v>-0.44434699999999999</v>
      </c>
      <c r="H836">
        <v>-3.1409749999999998E-3</v>
      </c>
      <c r="I836">
        <v>7.4873999999999996E-2</v>
      </c>
      <c r="J836">
        <v>7.0045999999999997E-2</v>
      </c>
      <c r="K836">
        <v>-6.4486455999999998E-2</v>
      </c>
      <c r="L836">
        <v>7.1190621000000003E-3</v>
      </c>
      <c r="M836">
        <v>0.93181818179999998</v>
      </c>
      <c r="N836">
        <v>1</v>
      </c>
    </row>
    <row r="837" spans="1:14" x14ac:dyDescent="0.25">
      <c r="A837" t="s">
        <v>143</v>
      </c>
      <c r="B837" t="s">
        <v>639</v>
      </c>
      <c r="C837" t="s">
        <v>14</v>
      </c>
      <c r="D837">
        <v>1</v>
      </c>
      <c r="E837">
        <v>880</v>
      </c>
      <c r="F837">
        <v>-7.3000000000000001E-3</v>
      </c>
      <c r="G837">
        <v>-8.1919999999999996E-3</v>
      </c>
      <c r="H837">
        <v>-8.7821199999999996E-4</v>
      </c>
      <c r="I837">
        <v>4.1519E-2</v>
      </c>
      <c r="J837">
        <v>4.301E-2</v>
      </c>
      <c r="K837">
        <v>3.59114346E-2</v>
      </c>
      <c r="L837">
        <v>0.1200732246</v>
      </c>
      <c r="M837">
        <v>0.9568181818</v>
      </c>
      <c r="N837">
        <v>4.88636364E-2</v>
      </c>
    </row>
    <row r="838" spans="1:14" x14ac:dyDescent="0.25">
      <c r="A838" t="s">
        <v>143</v>
      </c>
      <c r="B838" t="s">
        <v>639</v>
      </c>
      <c r="C838" t="s">
        <v>15</v>
      </c>
      <c r="D838">
        <v>1</v>
      </c>
      <c r="E838">
        <v>880</v>
      </c>
      <c r="F838">
        <v>-0.45419999999999999</v>
      </c>
      <c r="G838">
        <v>-0.45272600000000002</v>
      </c>
      <c r="H838">
        <v>1.4616617E-3</v>
      </c>
      <c r="I838">
        <v>4.7819E-2</v>
      </c>
      <c r="J838">
        <v>4.5095000000000003E-2</v>
      </c>
      <c r="K838">
        <v>-5.6960854999999998E-2</v>
      </c>
      <c r="L838">
        <v>-3.2181860000000001E-3</v>
      </c>
      <c r="M838">
        <v>0.93295454550000001</v>
      </c>
      <c r="N838">
        <v>1</v>
      </c>
    </row>
    <row r="839" spans="1:14" x14ac:dyDescent="0.25">
      <c r="A839" t="s">
        <v>143</v>
      </c>
      <c r="B839" t="s">
        <v>639</v>
      </c>
      <c r="C839" t="s">
        <v>16</v>
      </c>
      <c r="D839">
        <v>1</v>
      </c>
      <c r="E839">
        <v>880</v>
      </c>
      <c r="F839">
        <v>-8.2500000000000004E-2</v>
      </c>
      <c r="G839">
        <v>-8.4843000000000002E-2</v>
      </c>
      <c r="H839">
        <v>-2.3009390000000001E-3</v>
      </c>
      <c r="I839">
        <v>5.4886999999999998E-2</v>
      </c>
      <c r="J839">
        <v>5.3947000000000002E-2</v>
      </c>
      <c r="K839">
        <v>-1.7109877999999999E-2</v>
      </c>
      <c r="L839">
        <v>2.7875832699999999E-2</v>
      </c>
      <c r="M839">
        <v>0.94886363640000004</v>
      </c>
      <c r="N839">
        <v>0.37159090909999998</v>
      </c>
    </row>
    <row r="840" spans="1:14" x14ac:dyDescent="0.25">
      <c r="A840" t="s">
        <v>143</v>
      </c>
      <c r="B840" t="s">
        <v>639</v>
      </c>
      <c r="C840" t="s">
        <v>17</v>
      </c>
      <c r="D840">
        <v>1</v>
      </c>
      <c r="E840">
        <v>880</v>
      </c>
      <c r="F840">
        <v>-0.12590000000000001</v>
      </c>
      <c r="G840">
        <v>-0.12590000000000001</v>
      </c>
      <c r="H840">
        <v>4.6411E-5</v>
      </c>
      <c r="I840">
        <v>4.9350000000000002E-3</v>
      </c>
      <c r="J840">
        <v>4.8820000000000001E-3</v>
      </c>
      <c r="K840">
        <v>-1.0688738999999999E-2</v>
      </c>
      <c r="L840">
        <v>-3.68499E-4</v>
      </c>
      <c r="M840">
        <v>0.94545454549999997</v>
      </c>
      <c r="N840">
        <v>1</v>
      </c>
    </row>
    <row r="841" spans="1:14" x14ac:dyDescent="0.25">
      <c r="A841" t="s">
        <v>143</v>
      </c>
      <c r="B841" t="s">
        <v>639</v>
      </c>
      <c r="C841" t="s">
        <v>18</v>
      </c>
      <c r="D841">
        <v>1</v>
      </c>
      <c r="E841">
        <v>880</v>
      </c>
      <c r="F841">
        <v>-6.9999999999999999E-4</v>
      </c>
      <c r="G841">
        <v>-7.6800000000000002E-4</v>
      </c>
      <c r="H841">
        <v>-5.9837999999999999E-5</v>
      </c>
      <c r="I841">
        <v>2.565E-3</v>
      </c>
      <c r="J841">
        <v>2.4589999999999998E-3</v>
      </c>
      <c r="K841">
        <v>-4.1354825999999997E-2</v>
      </c>
      <c r="L841">
        <v>8.4551778699999997E-2</v>
      </c>
      <c r="M841">
        <v>0.94204545449999999</v>
      </c>
      <c r="N841">
        <v>6.25E-2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EA36-EEC2-4848-8017-7D1040D58A49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28" width="0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426</v>
      </c>
      <c r="J3" s="12" t="str">
        <f>INDEX('Method Codes'!$B:$B, MATCH(B3, 'Method Codes'!$I:$I,0))</f>
        <v>IND</v>
      </c>
      <c r="K3" s="12" t="str">
        <f>INDEX('Method Codes'!$H:$H, MATCH(B3, 'Method Codes'!$I:$I,0))</f>
        <v>1A</v>
      </c>
      <c r="M3" s="1" t="s">
        <v>427</v>
      </c>
      <c r="U3" s="12" t="str">
        <f>INDEX('Method Codes'!$B:$B, MATCH(M3, 'Method Codes'!$I:$I,0))</f>
        <v>EXCH</v>
      </c>
      <c r="V3" s="12" t="str">
        <f>INDEX('Method Codes'!$H:$H, MATCH(M3, 'Method Codes'!$I:$I,0))</f>
        <v>1A</v>
      </c>
      <c r="X3" s="1" t="s">
        <v>131</v>
      </c>
      <c r="AI3" s="1" t="s">
        <v>130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106.950408</v>
      </c>
      <c r="E5">
        <v>-0.12700067700000001</v>
      </c>
      <c r="F5">
        <v>1.3640600000000001</v>
      </c>
      <c r="G5">
        <v>1.363966</v>
      </c>
      <c r="H5">
        <v>-6.8991000000000004E-5</v>
      </c>
      <c r="I5">
        <v>-1.1860639999999999E-3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107.10513899999999</v>
      </c>
      <c r="P5">
        <v>0.29268223290000001</v>
      </c>
      <c r="Q5">
        <v>1.393985</v>
      </c>
      <c r="R5">
        <v>1.400711</v>
      </c>
      <c r="S5">
        <v>4.8247059999999998E-3</v>
      </c>
      <c r="T5">
        <v>2.7401508000000001E-3</v>
      </c>
      <c r="U5">
        <v>0.94399999999999995</v>
      </c>
      <c r="V5">
        <v>0</v>
      </c>
      <c r="X5" t="s">
        <v>12</v>
      </c>
      <c r="Y5">
        <v>107.08</v>
      </c>
      <c r="Z5">
        <v>106.979871</v>
      </c>
      <c r="AA5">
        <v>-9.7538E-2</v>
      </c>
      <c r="AB5">
        <v>-9.1100000000000003E-4</v>
      </c>
      <c r="AC5">
        <v>1.3580099999999999</v>
      </c>
      <c r="AD5">
        <v>1.3619589999999999</v>
      </c>
      <c r="AE5">
        <v>2.908E-3</v>
      </c>
      <c r="AF5">
        <v>0.95099999999999996</v>
      </c>
      <c r="AG5">
        <v>0</v>
      </c>
      <c r="AI5" t="s">
        <v>12</v>
      </c>
      <c r="AJ5">
        <v>106.81</v>
      </c>
      <c r="AK5">
        <v>107.09889099999999</v>
      </c>
      <c r="AL5">
        <v>0.28643000000000002</v>
      </c>
      <c r="AM5">
        <v>2.6800000000000001E-3</v>
      </c>
      <c r="AN5">
        <v>1.3813979999999999</v>
      </c>
      <c r="AO5">
        <v>1.3982840000000001</v>
      </c>
      <c r="AP5">
        <v>1.222E-2</v>
      </c>
      <c r="AQ5">
        <v>0.94799999999999995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-4.8127570000000004</v>
      </c>
      <c r="E6">
        <v>-4.4115327000000003E-2</v>
      </c>
      <c r="F6">
        <v>0.51909700000000003</v>
      </c>
      <c r="G6">
        <v>0.52463499999999996</v>
      </c>
      <c r="H6">
        <v>1.0669056999999999E-2</v>
      </c>
      <c r="I6">
        <v>9.2511304999999995E-3</v>
      </c>
      <c r="J6">
        <v>0.95299999999999996</v>
      </c>
      <c r="K6">
        <v>0</v>
      </c>
      <c r="M6" t="s">
        <v>13</v>
      </c>
      <c r="N6">
        <v>-4.7992999999999997</v>
      </c>
      <c r="O6">
        <v>-4.781034</v>
      </c>
      <c r="P6">
        <v>1.8247554700000002E-2</v>
      </c>
      <c r="Q6">
        <v>0.54247500000000004</v>
      </c>
      <c r="R6">
        <v>0.56538699999999997</v>
      </c>
      <c r="S6">
        <v>4.2237350700000002E-2</v>
      </c>
      <c r="T6">
        <v>-3.802143E-3</v>
      </c>
      <c r="U6">
        <v>0.96099999999999997</v>
      </c>
      <c r="V6">
        <v>0</v>
      </c>
      <c r="X6" t="s">
        <v>13</v>
      </c>
      <c r="Y6">
        <v>-4.7699999999999996</v>
      </c>
      <c r="Z6">
        <v>-4.7851530000000002</v>
      </c>
      <c r="AA6">
        <v>-1.6511000000000001E-2</v>
      </c>
      <c r="AB6">
        <v>3.4619999999999998E-3</v>
      </c>
      <c r="AC6">
        <v>0.53595599999999999</v>
      </c>
      <c r="AD6">
        <v>0.52454400000000001</v>
      </c>
      <c r="AE6">
        <v>-2.1291999999999998E-2</v>
      </c>
      <c r="AF6">
        <v>0.95</v>
      </c>
      <c r="AG6">
        <v>0</v>
      </c>
      <c r="AI6" t="s">
        <v>13</v>
      </c>
      <c r="AJ6">
        <v>-4.8</v>
      </c>
      <c r="AK6">
        <v>-4.7581749999999996</v>
      </c>
      <c r="AL6">
        <v>4.1110000000000001E-2</v>
      </c>
      <c r="AM6">
        <v>-8.5699999999999995E-3</v>
      </c>
      <c r="AN6">
        <v>0.57480399999999998</v>
      </c>
      <c r="AO6">
        <v>0.56614500000000001</v>
      </c>
      <c r="AP6">
        <v>-1.506E-2</v>
      </c>
      <c r="AQ6">
        <v>0.94499999999999995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8.7056760000000004</v>
      </c>
      <c r="E7">
        <v>8.9774712999999996E-3</v>
      </c>
      <c r="F7">
        <v>0.30685800000000002</v>
      </c>
      <c r="G7">
        <v>0.30633300000000002</v>
      </c>
      <c r="H7">
        <v>-1.710315E-3</v>
      </c>
      <c r="I7">
        <v>1.032285E-3</v>
      </c>
      <c r="J7">
        <v>0.94799999999999995</v>
      </c>
      <c r="K7">
        <v>0</v>
      </c>
      <c r="M7" t="s">
        <v>14</v>
      </c>
      <c r="N7">
        <v>8.7021999999999995</v>
      </c>
      <c r="O7">
        <v>8.7042830000000002</v>
      </c>
      <c r="P7">
        <v>2.0758462000000002E-3</v>
      </c>
      <c r="Q7">
        <v>0.34302899999999997</v>
      </c>
      <c r="R7">
        <v>0.34367399999999998</v>
      </c>
      <c r="S7">
        <v>1.880472E-3</v>
      </c>
      <c r="T7">
        <v>2.3854249999999999E-4</v>
      </c>
      <c r="U7">
        <v>0.95</v>
      </c>
      <c r="V7">
        <v>0</v>
      </c>
      <c r="X7" t="s">
        <v>14</v>
      </c>
      <c r="Y7">
        <v>8.6999999999999993</v>
      </c>
      <c r="Z7">
        <v>8.6951529999999995</v>
      </c>
      <c r="AA7">
        <v>-1.5460000000000001E-3</v>
      </c>
      <c r="AB7">
        <v>-1.7799999999999999E-4</v>
      </c>
      <c r="AC7">
        <v>0.30293399999999998</v>
      </c>
      <c r="AD7">
        <v>0.30566500000000002</v>
      </c>
      <c r="AE7">
        <v>9.0130000000000002E-3</v>
      </c>
      <c r="AF7">
        <v>0.95199999999999996</v>
      </c>
      <c r="AG7">
        <v>0</v>
      </c>
      <c r="AI7" t="s">
        <v>14</v>
      </c>
      <c r="AJ7">
        <v>8.6999999999999993</v>
      </c>
      <c r="AK7">
        <v>8.7196029999999993</v>
      </c>
      <c r="AL7">
        <v>1.7399999999999999E-2</v>
      </c>
      <c r="AM7">
        <v>2E-3</v>
      </c>
      <c r="AN7">
        <v>0.33220300000000003</v>
      </c>
      <c r="AO7">
        <v>0.34301199999999998</v>
      </c>
      <c r="AP7">
        <v>3.2539999999999999E-2</v>
      </c>
      <c r="AQ7">
        <v>0.96099999999999997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-1.5525199999999999</v>
      </c>
      <c r="E8">
        <v>5.7774858399999997E-2</v>
      </c>
      <c r="F8">
        <v>0.337974</v>
      </c>
      <c r="G8">
        <v>0.330345</v>
      </c>
      <c r="H8">
        <v>-2.2573728000000001E-2</v>
      </c>
      <c r="I8">
        <v>-3.5878440999999997E-2</v>
      </c>
      <c r="J8">
        <v>0.94599999999999995</v>
      </c>
      <c r="K8">
        <v>0</v>
      </c>
      <c r="M8" t="s">
        <v>15</v>
      </c>
      <c r="N8">
        <v>-1.5806</v>
      </c>
      <c r="O8">
        <v>-1.6776580000000001</v>
      </c>
      <c r="P8">
        <v>-9.7032126999999996E-2</v>
      </c>
      <c r="Q8">
        <v>0.35040900000000003</v>
      </c>
      <c r="R8">
        <v>0.34932000000000002</v>
      </c>
      <c r="S8">
        <v>-3.1071779999999999E-3</v>
      </c>
      <c r="T8">
        <v>6.1388419899999998E-2</v>
      </c>
      <c r="U8">
        <v>0.93799999999999994</v>
      </c>
      <c r="V8">
        <v>0</v>
      </c>
      <c r="X8" t="s">
        <v>15</v>
      </c>
      <c r="Y8">
        <v>-1.61</v>
      </c>
      <c r="Z8">
        <v>-1.5708679999999999</v>
      </c>
      <c r="AA8">
        <v>3.9426000000000003E-2</v>
      </c>
      <c r="AB8">
        <v>-2.4483999999999999E-2</v>
      </c>
      <c r="AC8">
        <v>0.328737</v>
      </c>
      <c r="AD8">
        <v>0.32993699999999998</v>
      </c>
      <c r="AE8">
        <v>3.6519999999999999E-3</v>
      </c>
      <c r="AF8">
        <v>0.95099999999999996</v>
      </c>
      <c r="AG8">
        <v>0</v>
      </c>
      <c r="AI8" t="s">
        <v>15</v>
      </c>
      <c r="AJ8">
        <v>-1.58</v>
      </c>
      <c r="AK8">
        <v>-1.6898029999999999</v>
      </c>
      <c r="AL8">
        <v>-0.10918</v>
      </c>
      <c r="AM8">
        <v>6.9070000000000006E-2</v>
      </c>
      <c r="AN8">
        <v>0.34812100000000001</v>
      </c>
      <c r="AO8">
        <v>0.34888799999999998</v>
      </c>
      <c r="AP8">
        <v>2.2000000000000001E-3</v>
      </c>
      <c r="AQ8">
        <v>0.94099999999999995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-7.9177569999999999</v>
      </c>
      <c r="E9">
        <v>-2.5810970000000001E-3</v>
      </c>
      <c r="F9">
        <v>0.36907600000000002</v>
      </c>
      <c r="G9">
        <v>0.38056600000000002</v>
      </c>
      <c r="H9">
        <v>3.1132704300000001E-2</v>
      </c>
      <c r="I9">
        <v>3.2609469999999999E-4</v>
      </c>
      <c r="J9">
        <v>0.95599999999999996</v>
      </c>
      <c r="K9">
        <v>0</v>
      </c>
      <c r="M9" t="s">
        <v>16</v>
      </c>
      <c r="N9">
        <v>-7.7763999999999998</v>
      </c>
      <c r="O9">
        <v>-7.8318250000000003</v>
      </c>
      <c r="P9">
        <v>-5.5396253999999999E-2</v>
      </c>
      <c r="Q9">
        <v>0.410945</v>
      </c>
      <c r="R9">
        <v>0.42594500000000002</v>
      </c>
      <c r="S9">
        <v>3.6501604E-2</v>
      </c>
      <c r="T9">
        <v>7.1236108999999997E-3</v>
      </c>
      <c r="U9">
        <v>0.95399999999999996</v>
      </c>
      <c r="V9">
        <v>0</v>
      </c>
      <c r="X9" t="s">
        <v>16</v>
      </c>
      <c r="Y9">
        <v>-7.92</v>
      </c>
      <c r="Z9">
        <v>-7.9144629999999996</v>
      </c>
      <c r="AA9">
        <v>7.1299999999999998E-4</v>
      </c>
      <c r="AB9">
        <v>-9.0000000000000006E-5</v>
      </c>
      <c r="AC9">
        <v>0.38780599999999998</v>
      </c>
      <c r="AD9">
        <v>0.380631</v>
      </c>
      <c r="AE9">
        <v>-1.8501E-2</v>
      </c>
      <c r="AF9">
        <v>0.94499999999999995</v>
      </c>
      <c r="AG9">
        <v>0</v>
      </c>
      <c r="AI9" t="s">
        <v>16</v>
      </c>
      <c r="AJ9">
        <v>-7.78</v>
      </c>
      <c r="AK9">
        <v>-7.8261839999999996</v>
      </c>
      <c r="AL9">
        <v>-4.9750000000000003E-2</v>
      </c>
      <c r="AM9">
        <v>6.4000000000000003E-3</v>
      </c>
      <c r="AN9">
        <v>0.43863000000000002</v>
      </c>
      <c r="AO9">
        <v>0.42560599999999998</v>
      </c>
      <c r="AP9">
        <v>-2.9690000000000001E-2</v>
      </c>
      <c r="AQ9">
        <v>0.95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5.865272</v>
      </c>
      <c r="E10">
        <v>-2.867287E-3</v>
      </c>
      <c r="F10">
        <v>2.3213999999999999E-2</v>
      </c>
      <c r="G10">
        <v>2.3928999999999999E-2</v>
      </c>
      <c r="H10">
        <v>3.07929059E-2</v>
      </c>
      <c r="I10">
        <v>-4.8861900000000003E-4</v>
      </c>
      <c r="J10">
        <v>0.95299999999999996</v>
      </c>
      <c r="K10">
        <v>0</v>
      </c>
      <c r="M10" t="s">
        <v>17</v>
      </c>
      <c r="N10">
        <v>5.8643999999999998</v>
      </c>
      <c r="O10">
        <v>5.8518210000000002</v>
      </c>
      <c r="P10">
        <v>-1.2589649E-2</v>
      </c>
      <c r="Q10">
        <v>2.1340999999999999E-2</v>
      </c>
      <c r="R10">
        <v>2.2537000000000001E-2</v>
      </c>
      <c r="S10">
        <v>5.6024711099999999E-2</v>
      </c>
      <c r="T10">
        <v>-2.1467880000000002E-3</v>
      </c>
      <c r="U10">
        <v>0.92600000000000005</v>
      </c>
      <c r="V10">
        <v>0</v>
      </c>
      <c r="X10" t="s">
        <v>17</v>
      </c>
      <c r="Y10">
        <v>5.87</v>
      </c>
      <c r="Z10">
        <v>5.8636660000000003</v>
      </c>
      <c r="AA10">
        <v>-4.4730000000000004E-3</v>
      </c>
      <c r="AB10">
        <v>-7.6199999999999998E-4</v>
      </c>
      <c r="AC10">
        <v>2.2693999999999999E-2</v>
      </c>
      <c r="AD10">
        <v>2.3917999999999998E-2</v>
      </c>
      <c r="AE10">
        <v>5.3968000000000002E-2</v>
      </c>
      <c r="AF10">
        <v>0.95599999999999996</v>
      </c>
      <c r="AG10">
        <v>0</v>
      </c>
      <c r="AI10" t="s">
        <v>17</v>
      </c>
      <c r="AJ10">
        <v>5.86</v>
      </c>
      <c r="AK10">
        <v>5.8502859999999997</v>
      </c>
      <c r="AL10">
        <v>-1.4120000000000001E-2</v>
      </c>
      <c r="AM10">
        <v>-2.4099999999999998E-3</v>
      </c>
      <c r="AN10">
        <v>2.0969000000000002E-2</v>
      </c>
      <c r="AO10">
        <v>2.2527999999999999E-2</v>
      </c>
      <c r="AP10">
        <v>7.4340000000000003E-2</v>
      </c>
      <c r="AQ10">
        <v>0.92100000000000004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2.5264999999999999E-2</v>
      </c>
      <c r="E11">
        <v>-3.1517379999999998E-3</v>
      </c>
      <c r="F11">
        <v>1.6396999999999998E-2</v>
      </c>
      <c r="G11">
        <v>1.7708999999999999E-2</v>
      </c>
      <c r="H11">
        <v>8.0011299499999994E-2</v>
      </c>
      <c r="I11">
        <v>-0.11091216499999999</v>
      </c>
      <c r="J11">
        <v>0.95699999999999996</v>
      </c>
      <c r="K11">
        <v>0</v>
      </c>
      <c r="M11" t="s">
        <v>18</v>
      </c>
      <c r="N11">
        <v>3.2099999999999997E-2</v>
      </c>
      <c r="O11">
        <v>3.8078000000000001E-2</v>
      </c>
      <c r="P11">
        <v>5.9693899000000002E-3</v>
      </c>
      <c r="Q11">
        <v>1.3712999999999999E-2</v>
      </c>
      <c r="R11">
        <v>1.5789999999999998E-2</v>
      </c>
      <c r="S11">
        <v>0.151432024</v>
      </c>
      <c r="T11">
        <v>0.18591369730000001</v>
      </c>
      <c r="U11">
        <v>0.96399999999999997</v>
      </c>
      <c r="V11">
        <v>0</v>
      </c>
      <c r="X11" t="s">
        <v>18</v>
      </c>
      <c r="Y11">
        <v>0.03</v>
      </c>
      <c r="Z11">
        <v>2.6459E-2</v>
      </c>
      <c r="AA11">
        <v>-1.9580000000000001E-3</v>
      </c>
      <c r="AB11">
        <v>-6.8901000000000004E-2</v>
      </c>
      <c r="AC11">
        <v>1.6330000000000001E-2</v>
      </c>
      <c r="AD11">
        <v>1.7683999999999998E-2</v>
      </c>
      <c r="AE11">
        <v>8.2900000000000001E-2</v>
      </c>
      <c r="AF11">
        <v>0.96399999999999997</v>
      </c>
      <c r="AG11">
        <v>0</v>
      </c>
      <c r="AI11" t="s">
        <v>18</v>
      </c>
      <c r="AJ11">
        <v>0.03</v>
      </c>
      <c r="AK11">
        <v>3.9211999999999997E-2</v>
      </c>
      <c r="AL11">
        <v>7.1000000000000004E-3</v>
      </c>
      <c r="AM11">
        <v>0.22123999999999999</v>
      </c>
      <c r="AN11">
        <v>1.3781E-2</v>
      </c>
      <c r="AO11">
        <v>1.5755999999999999E-2</v>
      </c>
      <c r="AP11">
        <v>0.14335999999999999</v>
      </c>
      <c r="AQ11">
        <v>0.96199999999999997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442</v>
      </c>
      <c r="J13" s="12" t="str">
        <f>INDEX('Method Codes'!$B:$B, MATCH(B13, 'Method Codes'!$I:$I,0))</f>
        <v>IND</v>
      </c>
      <c r="K13" s="12" t="str">
        <f>INDEX('Method Codes'!H:H, MATCH(B13, 'Method Codes'!I:I,0))</f>
        <v>2A</v>
      </c>
      <c r="M13" s="1" t="s">
        <v>497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2A</v>
      </c>
      <c r="X13" s="1" t="s">
        <v>128</v>
      </c>
      <c r="AI13" s="1" t="s">
        <v>129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1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14"/>
    </row>
    <row r="17" spans="1:47" x14ac:dyDescent="0.25">
      <c r="A17" s="14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1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1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1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1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0.42899999999999999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106</v>
      </c>
      <c r="M23" s="1" t="s">
        <v>107</v>
      </c>
      <c r="X23" s="1" t="s">
        <v>108</v>
      </c>
      <c r="AI23" s="1" t="s">
        <v>109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0.80500000000000005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0.86299999999999999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0.94199999999999995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0.89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0.93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0.122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0.91900000000000004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idden="1" x14ac:dyDescent="0.25"/>
    <row r="33" spans="1:47" x14ac:dyDescent="0.25">
      <c r="A33" s="13" t="s">
        <v>69</v>
      </c>
      <c r="B33" s="1" t="s">
        <v>455</v>
      </c>
      <c r="J33" s="12" t="str">
        <f>INDEX('Method Codes'!$B:$B, MATCH(B33, 'Method Codes'!$I:$I,0))</f>
        <v>IND</v>
      </c>
      <c r="K33" s="12" t="str">
        <f>INDEX('Method Codes'!H:H, MATCH(B33, 'Method Codes'!I:I,0))</f>
        <v>3A</v>
      </c>
      <c r="M33" s="1" t="s">
        <v>496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3A</v>
      </c>
      <c r="X33" s="1" t="s">
        <v>127</v>
      </c>
      <c r="AI33" s="1" t="s">
        <v>126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107.016868</v>
      </c>
      <c r="E35">
        <v>-6.0540082000000002E-2</v>
      </c>
      <c r="F35">
        <v>2.6571910000000001</v>
      </c>
      <c r="G35">
        <v>2.749209</v>
      </c>
      <c r="H35">
        <v>3.4629567700000002E-2</v>
      </c>
      <c r="I35">
        <v>-5.6538599999999997E-4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107.366551</v>
      </c>
      <c r="P35">
        <v>0.55409431760000005</v>
      </c>
      <c r="Q35">
        <v>3.2308880000000002</v>
      </c>
      <c r="R35">
        <v>3.3061129999999999</v>
      </c>
      <c r="S35">
        <v>2.3283156400000001E-2</v>
      </c>
      <c r="T35">
        <v>5.1875439999999997E-3</v>
      </c>
      <c r="U35">
        <v>0.94899999999999995</v>
      </c>
      <c r="V35">
        <v>0</v>
      </c>
      <c r="X35" t="s">
        <v>12</v>
      </c>
      <c r="Y35">
        <v>107.08</v>
      </c>
      <c r="Z35">
        <v>107.054304</v>
      </c>
      <c r="AA35">
        <v>-2.3099999999999999E-2</v>
      </c>
      <c r="AB35">
        <v>-2.2000000000000001E-4</v>
      </c>
      <c r="AC35">
        <v>2.6970730000000001</v>
      </c>
      <c r="AD35">
        <v>2.7527750000000002</v>
      </c>
      <c r="AE35">
        <v>2.0653000000000001E-2</v>
      </c>
      <c r="AF35">
        <v>0.95199999999999996</v>
      </c>
      <c r="AG35">
        <v>0</v>
      </c>
      <c r="AI35" t="s">
        <v>12</v>
      </c>
      <c r="AJ35">
        <v>106.81</v>
      </c>
      <c r="AK35">
        <v>107.361863</v>
      </c>
      <c r="AL35">
        <v>0.54940999999999995</v>
      </c>
      <c r="AM35">
        <v>5.1399999999999996E-3</v>
      </c>
      <c r="AN35">
        <v>3.2090610000000002</v>
      </c>
      <c r="AO35">
        <v>3.3117749999999999</v>
      </c>
      <c r="AP35">
        <v>3.2007000000000001E-2</v>
      </c>
      <c r="AQ35">
        <v>0.94299999999999995</v>
      </c>
      <c r="AR35">
        <v>0</v>
      </c>
      <c r="AS35" s="14"/>
    </row>
    <row r="36" spans="1:47" x14ac:dyDescent="0.25">
      <c r="A36" s="14"/>
      <c r="B36" t="s">
        <v>13</v>
      </c>
      <c r="C36">
        <v>-4.7686000000000002</v>
      </c>
      <c r="D36">
        <v>-5.0437390000000004</v>
      </c>
      <c r="E36">
        <v>-0.27509719399999999</v>
      </c>
      <c r="F36">
        <v>1.1634279999999999</v>
      </c>
      <c r="G36">
        <v>1.160315</v>
      </c>
      <c r="H36">
        <v>-2.675944E-3</v>
      </c>
      <c r="I36">
        <v>5.7688795500000001E-2</v>
      </c>
      <c r="J36">
        <v>0.95299999999999996</v>
      </c>
      <c r="K36">
        <v>0</v>
      </c>
      <c r="M36" t="s">
        <v>13</v>
      </c>
      <c r="N36">
        <v>-4.7992999999999997</v>
      </c>
      <c r="O36">
        <v>-4.8812870000000004</v>
      </c>
      <c r="P36">
        <v>-8.2004772000000004E-2</v>
      </c>
      <c r="Q36">
        <v>1.3222579999999999</v>
      </c>
      <c r="R36">
        <v>1.3324419999999999</v>
      </c>
      <c r="S36">
        <v>7.7021496000000004E-3</v>
      </c>
      <c r="T36">
        <v>1.7086883899999999E-2</v>
      </c>
      <c r="U36">
        <v>0.96099999999999997</v>
      </c>
      <c r="V36">
        <v>0</v>
      </c>
      <c r="X36" t="s">
        <v>13</v>
      </c>
      <c r="Y36">
        <v>-4.7699999999999996</v>
      </c>
      <c r="Z36">
        <v>-5.0296479999999999</v>
      </c>
      <c r="AA36">
        <v>-0.26101000000000002</v>
      </c>
      <c r="AB36">
        <v>5.4730000000000001E-2</v>
      </c>
      <c r="AC36">
        <v>1.162164</v>
      </c>
      <c r="AD36">
        <v>1.1613370000000001</v>
      </c>
      <c r="AE36">
        <v>-7.1199999999999996E-4</v>
      </c>
      <c r="AF36">
        <v>0.95499999999999996</v>
      </c>
      <c r="AG36">
        <v>0</v>
      </c>
      <c r="AI36" t="s">
        <v>13</v>
      </c>
      <c r="AJ36">
        <v>-4.8</v>
      </c>
      <c r="AK36">
        <v>-4.8917609999999998</v>
      </c>
      <c r="AL36">
        <v>-9.2480000000000007E-2</v>
      </c>
      <c r="AM36">
        <v>1.9269999999999999E-2</v>
      </c>
      <c r="AN36">
        <v>1.3169729999999999</v>
      </c>
      <c r="AO36">
        <v>1.331685</v>
      </c>
      <c r="AP36">
        <v>1.1171E-2</v>
      </c>
      <c r="AQ36">
        <v>0.96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8.6966999999999999</v>
      </c>
      <c r="D37">
        <v>8.7347760000000001</v>
      </c>
      <c r="E37">
        <v>3.8077076699999997E-2</v>
      </c>
      <c r="F37">
        <v>0.63395100000000004</v>
      </c>
      <c r="G37">
        <v>0.63040099999999999</v>
      </c>
      <c r="H37">
        <v>-5.6000240000000003E-3</v>
      </c>
      <c r="I37">
        <v>4.3783368999999999E-3</v>
      </c>
      <c r="J37">
        <v>0.94799999999999995</v>
      </c>
      <c r="K37">
        <v>0</v>
      </c>
      <c r="M37" t="s">
        <v>14</v>
      </c>
      <c r="N37">
        <v>8.7021999999999995</v>
      </c>
      <c r="O37">
        <v>8.7341739999999994</v>
      </c>
      <c r="P37">
        <v>3.1966465499999999E-2</v>
      </c>
      <c r="Q37">
        <v>0.71731299999999998</v>
      </c>
      <c r="R37">
        <v>0.69372900000000004</v>
      </c>
      <c r="S37">
        <v>-3.2877594000000003E-2</v>
      </c>
      <c r="T37">
        <v>3.6733743999999998E-3</v>
      </c>
      <c r="U37">
        <v>0.94699999999999995</v>
      </c>
      <c r="V37">
        <v>0</v>
      </c>
      <c r="X37" t="s">
        <v>14</v>
      </c>
      <c r="Y37">
        <v>8.6999999999999993</v>
      </c>
      <c r="Z37">
        <v>8.7392319999999994</v>
      </c>
      <c r="AA37">
        <v>4.2529999999999998E-2</v>
      </c>
      <c r="AB37">
        <v>4.8900000000000002E-3</v>
      </c>
      <c r="AC37">
        <v>0.61488200000000004</v>
      </c>
      <c r="AD37">
        <v>0.62593100000000002</v>
      </c>
      <c r="AE37">
        <v>1.7968999999999999E-2</v>
      </c>
      <c r="AF37">
        <v>0.95099999999999996</v>
      </c>
      <c r="AG37">
        <v>0</v>
      </c>
      <c r="AI37" t="s">
        <v>14</v>
      </c>
      <c r="AJ37">
        <v>8.6999999999999993</v>
      </c>
      <c r="AK37">
        <v>8.7398140000000009</v>
      </c>
      <c r="AL37">
        <v>3.7609999999999998E-2</v>
      </c>
      <c r="AM37">
        <v>4.3200000000000001E-3</v>
      </c>
      <c r="AN37">
        <v>0.69057900000000005</v>
      </c>
      <c r="AO37">
        <v>0.68912399999999996</v>
      </c>
      <c r="AP37">
        <v>-2.1059999999999998E-3</v>
      </c>
      <c r="AQ37">
        <v>0.95399999999999996</v>
      </c>
      <c r="AR37">
        <v>0</v>
      </c>
      <c r="AS37" s="14"/>
    </row>
    <row r="38" spans="1:47" x14ac:dyDescent="0.25">
      <c r="A38" s="14"/>
      <c r="B38" t="s">
        <v>15</v>
      </c>
      <c r="C38">
        <v>-1.6103000000000001</v>
      </c>
      <c r="D38">
        <v>-1.3060659999999999</v>
      </c>
      <c r="E38">
        <v>0.30422903579999999</v>
      </c>
      <c r="F38">
        <v>0.72019</v>
      </c>
      <c r="G38">
        <v>0.70829200000000003</v>
      </c>
      <c r="H38">
        <v>-1.6520876E-2</v>
      </c>
      <c r="I38">
        <v>-0.18892756899999999</v>
      </c>
      <c r="J38">
        <v>0.93200000000000005</v>
      </c>
      <c r="K38">
        <v>0</v>
      </c>
      <c r="M38" t="s">
        <v>15</v>
      </c>
      <c r="N38">
        <v>-1.5806</v>
      </c>
      <c r="O38">
        <v>-1.4368369999999999</v>
      </c>
      <c r="P38">
        <v>0.14378862640000001</v>
      </c>
      <c r="Q38">
        <v>0.88010600000000005</v>
      </c>
      <c r="R38">
        <v>0.86254699999999995</v>
      </c>
      <c r="S38">
        <v>-1.9950743999999999E-2</v>
      </c>
      <c r="T38">
        <v>-9.0969421999999994E-2</v>
      </c>
      <c r="U38">
        <v>0.95</v>
      </c>
      <c r="V38">
        <v>0</v>
      </c>
      <c r="X38" t="s">
        <v>15</v>
      </c>
      <c r="Y38">
        <v>-1.61</v>
      </c>
      <c r="Z38">
        <v>-1.33714</v>
      </c>
      <c r="AA38">
        <v>0.27315</v>
      </c>
      <c r="AB38">
        <v>-0.16963</v>
      </c>
      <c r="AC38">
        <v>0.72367199999999998</v>
      </c>
      <c r="AD38">
        <v>0.70661499999999999</v>
      </c>
      <c r="AE38">
        <v>-2.3569E-2</v>
      </c>
      <c r="AF38">
        <v>0.93200000000000005</v>
      </c>
      <c r="AG38">
        <v>0</v>
      </c>
      <c r="AI38" t="s">
        <v>15</v>
      </c>
      <c r="AJ38">
        <v>-1.58</v>
      </c>
      <c r="AK38">
        <v>-1.4549700000000001</v>
      </c>
      <c r="AL38">
        <v>0.12565999999999999</v>
      </c>
      <c r="AM38">
        <v>-7.9500000000000001E-2</v>
      </c>
      <c r="AN38">
        <v>0.88153800000000004</v>
      </c>
      <c r="AO38">
        <v>0.85836800000000002</v>
      </c>
      <c r="AP38">
        <v>-2.6283999999999998E-2</v>
      </c>
      <c r="AQ38">
        <v>0.94899999999999995</v>
      </c>
      <c r="AR38">
        <v>0</v>
      </c>
      <c r="AS38" s="14"/>
    </row>
    <row r="39" spans="1:47" x14ac:dyDescent="0.25">
      <c r="A39" s="14"/>
      <c r="B39" t="s">
        <v>16</v>
      </c>
      <c r="C39">
        <v>-7.9151999999999996</v>
      </c>
      <c r="D39">
        <v>-7.7977109999999996</v>
      </c>
      <c r="E39">
        <v>0.1174641669</v>
      </c>
      <c r="F39">
        <v>0.81723999999999997</v>
      </c>
      <c r="G39">
        <v>0.82267500000000005</v>
      </c>
      <c r="H39">
        <v>6.6499172999999996E-3</v>
      </c>
      <c r="I39">
        <v>-1.4840374E-2</v>
      </c>
      <c r="J39">
        <v>0.94799999999999995</v>
      </c>
      <c r="K39">
        <v>0</v>
      </c>
      <c r="M39" t="s">
        <v>16</v>
      </c>
      <c r="N39">
        <v>-7.7763999999999998</v>
      </c>
      <c r="O39">
        <v>-7.7981100000000003</v>
      </c>
      <c r="P39">
        <v>-2.1681433999999999E-2</v>
      </c>
      <c r="Q39">
        <v>0.90300800000000003</v>
      </c>
      <c r="R39">
        <v>0.901169</v>
      </c>
      <c r="S39">
        <v>-2.036483E-3</v>
      </c>
      <c r="T39">
        <v>2.7880965000000001E-3</v>
      </c>
      <c r="U39">
        <v>0.95399999999999996</v>
      </c>
      <c r="V39">
        <v>0</v>
      </c>
      <c r="X39" t="s">
        <v>16</v>
      </c>
      <c r="Y39">
        <v>-7.92</v>
      </c>
      <c r="Z39">
        <v>-7.7756150000000002</v>
      </c>
      <c r="AA39">
        <v>0.13955999999999999</v>
      </c>
      <c r="AB39">
        <v>-1.763E-2</v>
      </c>
      <c r="AC39">
        <v>0.83233599999999996</v>
      </c>
      <c r="AD39">
        <v>0.81930800000000004</v>
      </c>
      <c r="AE39">
        <v>-1.5651999999999999E-2</v>
      </c>
      <c r="AF39">
        <v>0.94299999999999995</v>
      </c>
      <c r="AG39">
        <v>0</v>
      </c>
      <c r="AI39" t="s">
        <v>16</v>
      </c>
      <c r="AJ39">
        <v>-7.78</v>
      </c>
      <c r="AK39">
        <v>-7.7287629999999998</v>
      </c>
      <c r="AL39">
        <v>4.7669999999999997E-2</v>
      </c>
      <c r="AM39">
        <v>-6.13E-3</v>
      </c>
      <c r="AN39">
        <v>0.93267599999999995</v>
      </c>
      <c r="AO39">
        <v>0.89790400000000004</v>
      </c>
      <c r="AP39">
        <v>-3.7282000000000003E-2</v>
      </c>
      <c r="AQ39">
        <v>0.94</v>
      </c>
      <c r="AR39">
        <v>0</v>
      </c>
      <c r="AS39" s="14"/>
    </row>
    <row r="40" spans="1:47" x14ac:dyDescent="0.25">
      <c r="A40" s="14"/>
      <c r="B40" t="s">
        <v>17</v>
      </c>
      <c r="C40">
        <v>5.8681000000000001</v>
      </c>
      <c r="D40">
        <v>5.9070270000000002</v>
      </c>
      <c r="E40">
        <v>3.8888087299999999E-2</v>
      </c>
      <c r="F40">
        <v>5.8436000000000002E-2</v>
      </c>
      <c r="G40">
        <v>6.3544000000000003E-2</v>
      </c>
      <c r="H40">
        <v>8.7423757000000005E-2</v>
      </c>
      <c r="I40">
        <v>6.6269880999999999E-3</v>
      </c>
      <c r="J40">
        <v>0.95</v>
      </c>
      <c r="K40">
        <v>0</v>
      </c>
      <c r="M40" t="s">
        <v>17</v>
      </c>
      <c r="N40">
        <v>5.8643999999999998</v>
      </c>
      <c r="O40">
        <v>5.8921869999999998</v>
      </c>
      <c r="P40">
        <v>2.7775729999999998E-2</v>
      </c>
      <c r="Q40">
        <v>6.4449999999999993E-2</v>
      </c>
      <c r="R40">
        <v>6.9494E-2</v>
      </c>
      <c r="S40">
        <v>7.8257299899999994E-2</v>
      </c>
      <c r="T40">
        <v>4.7363207000000003E-3</v>
      </c>
      <c r="U40">
        <v>0.96599999999999997</v>
      </c>
      <c r="V40">
        <v>0</v>
      </c>
      <c r="X40" t="s">
        <v>17</v>
      </c>
      <c r="Y40">
        <v>5.87</v>
      </c>
      <c r="Z40">
        <v>5.9043520000000003</v>
      </c>
      <c r="AA40">
        <v>3.6209999999999999E-2</v>
      </c>
      <c r="AB40">
        <v>6.1700000000000001E-3</v>
      </c>
      <c r="AC40">
        <v>6.0449000000000003E-2</v>
      </c>
      <c r="AD40">
        <v>6.3147999999999996E-2</v>
      </c>
      <c r="AE40">
        <v>4.4650000000000002E-2</v>
      </c>
      <c r="AF40">
        <v>0.94799999999999995</v>
      </c>
      <c r="AG40">
        <v>0</v>
      </c>
      <c r="AI40" t="s">
        <v>17</v>
      </c>
      <c r="AJ40">
        <v>5.86</v>
      </c>
      <c r="AK40">
        <v>5.8901479999999999</v>
      </c>
      <c r="AL40">
        <v>2.5739999999999999E-2</v>
      </c>
      <c r="AM40">
        <v>4.3899999999999998E-3</v>
      </c>
      <c r="AN40">
        <v>6.5723000000000004E-2</v>
      </c>
      <c r="AO40">
        <v>6.9316000000000003E-2</v>
      </c>
      <c r="AP40">
        <v>5.466E-2</v>
      </c>
      <c r="AQ40">
        <v>0.97399999999999998</v>
      </c>
      <c r="AR40">
        <v>0</v>
      </c>
      <c r="AS40" s="14"/>
    </row>
    <row r="41" spans="1:47" x14ac:dyDescent="0.25">
      <c r="A41" s="14"/>
      <c r="B41" t="s">
        <v>18</v>
      </c>
      <c r="C41">
        <v>2.8400000000000002E-2</v>
      </c>
      <c r="D41">
        <v>-6.9870000000000002E-3</v>
      </c>
      <c r="E41">
        <v>-3.5403931999999999E-2</v>
      </c>
      <c r="F41">
        <v>4.9764000000000003E-2</v>
      </c>
      <c r="G41">
        <v>5.2823000000000002E-2</v>
      </c>
      <c r="H41">
        <v>6.1469333799999998E-2</v>
      </c>
      <c r="I41">
        <v>-1.2458923740000001</v>
      </c>
      <c r="J41">
        <v>0.95099999999999996</v>
      </c>
      <c r="K41">
        <v>0</v>
      </c>
      <c r="M41" t="s">
        <v>18</v>
      </c>
      <c r="N41">
        <v>3.2099999999999997E-2</v>
      </c>
      <c r="O41">
        <v>7.868E-3</v>
      </c>
      <c r="P41">
        <v>-2.4240251000000001E-2</v>
      </c>
      <c r="Q41">
        <v>5.6614999999999999E-2</v>
      </c>
      <c r="R41">
        <v>5.9601000000000001E-2</v>
      </c>
      <c r="S41">
        <v>5.2731477399999997E-2</v>
      </c>
      <c r="T41">
        <v>-0.75495064599999995</v>
      </c>
      <c r="U41">
        <v>0.96299999999999997</v>
      </c>
      <c r="V41">
        <v>0</v>
      </c>
      <c r="X41" t="s">
        <v>18</v>
      </c>
      <c r="Y41">
        <v>0.03</v>
      </c>
      <c r="Z41">
        <v>-4.2370000000000003E-3</v>
      </c>
      <c r="AA41">
        <v>-3.2649999999999998E-2</v>
      </c>
      <c r="AB41">
        <v>-1.1490899999999999</v>
      </c>
      <c r="AC41">
        <v>5.0806999999999998E-2</v>
      </c>
      <c r="AD41">
        <v>5.2906000000000002E-2</v>
      </c>
      <c r="AE41">
        <v>4.1318000000000001E-2</v>
      </c>
      <c r="AF41">
        <v>0.94499999999999995</v>
      </c>
      <c r="AG41">
        <v>0</v>
      </c>
      <c r="AI41" t="s">
        <v>18</v>
      </c>
      <c r="AJ41">
        <v>0.03</v>
      </c>
      <c r="AK41">
        <v>1.0057E-2</v>
      </c>
      <c r="AL41">
        <v>-2.205E-2</v>
      </c>
      <c r="AM41">
        <v>-0.68679000000000001</v>
      </c>
      <c r="AN41">
        <v>5.6989999999999999E-2</v>
      </c>
      <c r="AO41">
        <v>5.9797999999999997E-2</v>
      </c>
      <c r="AP41">
        <v>4.9269E-2</v>
      </c>
      <c r="AQ41">
        <v>0.97199999999999998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463</v>
      </c>
      <c r="J43" s="12" t="str">
        <f>INDEX('Method Codes'!$B:$B, MATCH(B43, 'Method Codes'!$I:$I,0))</f>
        <v>IND</v>
      </c>
      <c r="K43" s="12" t="str">
        <f>INDEX('Method Codes'!H:H, MATCH(B43, 'Method Codes'!I:I,0))</f>
        <v>4A</v>
      </c>
      <c r="M43" s="1" t="s">
        <v>495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4A</v>
      </c>
      <c r="X43" s="1" t="s">
        <v>124</v>
      </c>
      <c r="AI43" s="1" t="s">
        <v>125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106.47678999999999</v>
      </c>
      <c r="E45">
        <v>-0.60061874299999995</v>
      </c>
      <c r="F45">
        <v>2.1918500000000001</v>
      </c>
      <c r="G45">
        <v>2.20112</v>
      </c>
      <c r="H45">
        <v>4.2294741E-3</v>
      </c>
      <c r="I45">
        <v>-5.6092010000000003E-3</v>
      </c>
      <c r="J45">
        <v>0.94599999999999995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107.109078</v>
      </c>
      <c r="P45">
        <v>0.2966212453</v>
      </c>
      <c r="Q45">
        <v>2.6294149999999998</v>
      </c>
      <c r="R45">
        <v>2.623837</v>
      </c>
      <c r="S45">
        <v>-2.1212150000000001E-3</v>
      </c>
      <c r="T45">
        <v>2.7770286000000002E-3</v>
      </c>
      <c r="U45">
        <v>0.94499999999999995</v>
      </c>
      <c r="V45">
        <v>1</v>
      </c>
      <c r="X45" t="s">
        <v>12</v>
      </c>
      <c r="Y45">
        <v>107.08</v>
      </c>
      <c r="Z45">
        <v>106.5628</v>
      </c>
      <c r="AA45">
        <v>-0.51459999999999995</v>
      </c>
      <c r="AB45">
        <v>-4.81E-3</v>
      </c>
      <c r="AC45">
        <v>2.2492999999999999</v>
      </c>
      <c r="AD45">
        <v>2.1909000000000001</v>
      </c>
      <c r="AE45">
        <v>-2.5963E-2</v>
      </c>
      <c r="AF45">
        <v>0.94599999999999995</v>
      </c>
      <c r="AG45">
        <v>1</v>
      </c>
      <c r="AI45" t="s">
        <v>12</v>
      </c>
      <c r="AJ45">
        <v>106.81</v>
      </c>
      <c r="AK45">
        <v>107.1737</v>
      </c>
      <c r="AL45">
        <v>0.36120999999999998</v>
      </c>
      <c r="AM45">
        <v>3.3800000000000002E-3</v>
      </c>
      <c r="AN45">
        <v>2.6972</v>
      </c>
      <c r="AO45">
        <v>2.6122999999999998</v>
      </c>
      <c r="AP45">
        <v>-3.1475000000000003E-2</v>
      </c>
      <c r="AQ45">
        <v>0.93100000000000005</v>
      </c>
      <c r="AR45">
        <v>1</v>
      </c>
      <c r="AS45" s="14"/>
    </row>
    <row r="46" spans="1:47" x14ac:dyDescent="0.25">
      <c r="A46" s="14"/>
      <c r="B46" t="s">
        <v>13</v>
      </c>
      <c r="C46">
        <v>-4.7686000000000002</v>
      </c>
      <c r="D46">
        <v>-4.7489970000000001</v>
      </c>
      <c r="E46">
        <v>1.96449174E-2</v>
      </c>
      <c r="F46">
        <v>0.87645799999999996</v>
      </c>
      <c r="G46">
        <v>0.89733499999999999</v>
      </c>
      <c r="H46">
        <v>2.3819082299999999E-2</v>
      </c>
      <c r="I46">
        <v>-4.1196039999999998E-3</v>
      </c>
      <c r="J46">
        <v>0.95299999999999996</v>
      </c>
      <c r="K46">
        <v>1</v>
      </c>
      <c r="M46" t="s">
        <v>13</v>
      </c>
      <c r="N46">
        <v>-4.7992999999999997</v>
      </c>
      <c r="O46">
        <v>-4.6754619999999996</v>
      </c>
      <c r="P46">
        <v>0.1238200602</v>
      </c>
      <c r="Q46">
        <v>1.0377460000000001</v>
      </c>
      <c r="R46">
        <v>1.044022</v>
      </c>
      <c r="S46">
        <v>6.0479866000000002E-3</v>
      </c>
      <c r="T46">
        <v>-2.5799705999999999E-2</v>
      </c>
      <c r="U46">
        <v>0.95699999999999996</v>
      </c>
      <c r="V46">
        <v>0.996</v>
      </c>
      <c r="X46" t="s">
        <v>13</v>
      </c>
      <c r="Y46">
        <v>-4.7699999999999996</v>
      </c>
      <c r="Z46">
        <v>-4.7122999999999999</v>
      </c>
      <c r="AA46">
        <v>5.636E-2</v>
      </c>
      <c r="AB46">
        <v>-1.1820000000000001E-2</v>
      </c>
      <c r="AC46">
        <v>0.92400000000000004</v>
      </c>
      <c r="AD46">
        <v>0.89049999999999996</v>
      </c>
      <c r="AE46">
        <v>-3.6310000000000002E-2</v>
      </c>
      <c r="AF46">
        <v>0.93899999999999995</v>
      </c>
      <c r="AG46">
        <v>1</v>
      </c>
      <c r="AI46" t="s">
        <v>13</v>
      </c>
      <c r="AJ46">
        <v>-4.8</v>
      </c>
      <c r="AK46">
        <v>-4.6571999999999996</v>
      </c>
      <c r="AL46">
        <v>0.14210999999999999</v>
      </c>
      <c r="AM46">
        <v>-2.9610000000000001E-2</v>
      </c>
      <c r="AN46">
        <v>1.073</v>
      </c>
      <c r="AO46">
        <v>1.0367999999999999</v>
      </c>
      <c r="AP46">
        <v>-3.3770000000000001E-2</v>
      </c>
      <c r="AQ46">
        <v>0.94499999999999995</v>
      </c>
      <c r="AR46">
        <v>0.99299999999999999</v>
      </c>
      <c r="AS46" s="14"/>
    </row>
    <row r="47" spans="1:47" x14ac:dyDescent="0.25">
      <c r="A47" s="14"/>
      <c r="B47" t="s">
        <v>14</v>
      </c>
      <c r="C47">
        <v>8.6966999999999999</v>
      </c>
      <c r="D47">
        <v>8.6199530000000006</v>
      </c>
      <c r="E47">
        <v>-7.6745835999999998E-2</v>
      </c>
      <c r="F47">
        <v>0.53321300000000005</v>
      </c>
      <c r="G47">
        <v>0.52735799999999999</v>
      </c>
      <c r="H47">
        <v>-1.0979304E-2</v>
      </c>
      <c r="I47">
        <v>-8.824709E-3</v>
      </c>
      <c r="J47">
        <v>0.93799999999999994</v>
      </c>
      <c r="K47">
        <v>1</v>
      </c>
      <c r="M47" t="s">
        <v>14</v>
      </c>
      <c r="N47">
        <v>8.7021999999999995</v>
      </c>
      <c r="O47">
        <v>8.6191490000000002</v>
      </c>
      <c r="P47">
        <v>-8.3058248000000001E-2</v>
      </c>
      <c r="Q47">
        <v>0.61757200000000001</v>
      </c>
      <c r="R47">
        <v>0.59816000000000003</v>
      </c>
      <c r="S47">
        <v>-3.1434015000000003E-2</v>
      </c>
      <c r="T47">
        <v>-9.5445029999999993E-3</v>
      </c>
      <c r="U47">
        <v>0.93500000000000005</v>
      </c>
      <c r="V47">
        <v>1</v>
      </c>
      <c r="X47" t="s">
        <v>14</v>
      </c>
      <c r="Y47">
        <v>8.6999999999999993</v>
      </c>
      <c r="Z47">
        <v>8.6196000000000002</v>
      </c>
      <c r="AA47">
        <v>-7.7060000000000003E-2</v>
      </c>
      <c r="AB47">
        <v>-8.8599999999999998E-3</v>
      </c>
      <c r="AC47">
        <v>0.52010000000000001</v>
      </c>
      <c r="AD47">
        <v>0.52449999999999997</v>
      </c>
      <c r="AE47">
        <v>8.4419999999999999E-3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8.6210000000000004</v>
      </c>
      <c r="AL47">
        <v>-8.1210000000000004E-2</v>
      </c>
      <c r="AM47">
        <v>-9.3299999999999998E-3</v>
      </c>
      <c r="AN47">
        <v>0.59989999999999999</v>
      </c>
      <c r="AO47">
        <v>0.59509999999999996</v>
      </c>
      <c r="AP47">
        <v>-7.9590000000000008E-3</v>
      </c>
      <c r="AQ47">
        <v>0.95399999999999996</v>
      </c>
      <c r="AR47">
        <v>1</v>
      </c>
      <c r="AS47" s="14"/>
    </row>
    <row r="48" spans="1:47" x14ac:dyDescent="0.25">
      <c r="A48" s="14"/>
      <c r="B48" t="s">
        <v>15</v>
      </c>
      <c r="C48">
        <v>-1.6103000000000001</v>
      </c>
      <c r="D48">
        <v>-1.526751</v>
      </c>
      <c r="E48">
        <v>8.3543516600000006E-2</v>
      </c>
      <c r="F48">
        <v>0.54947500000000005</v>
      </c>
      <c r="G48">
        <v>0.55172699999999997</v>
      </c>
      <c r="H48">
        <v>4.0984194E-3</v>
      </c>
      <c r="I48">
        <v>-5.1880890999999998E-2</v>
      </c>
      <c r="J48">
        <v>0.95</v>
      </c>
      <c r="K48">
        <v>0.77500000000000002</v>
      </c>
      <c r="M48" t="s">
        <v>15</v>
      </c>
      <c r="N48">
        <v>-1.5806</v>
      </c>
      <c r="O48">
        <v>-1.752356</v>
      </c>
      <c r="P48">
        <v>-0.17172985399999999</v>
      </c>
      <c r="Q48">
        <v>0.67419200000000001</v>
      </c>
      <c r="R48">
        <v>0.67522199999999999</v>
      </c>
      <c r="S48">
        <v>1.5278427E-3</v>
      </c>
      <c r="T48">
        <v>0.1086467406</v>
      </c>
      <c r="U48">
        <v>0.94099999999999995</v>
      </c>
      <c r="V48">
        <v>0.73699999999999999</v>
      </c>
      <c r="X48" t="s">
        <v>15</v>
      </c>
      <c r="Y48">
        <v>-1.61</v>
      </c>
      <c r="Z48">
        <v>-1.5605</v>
      </c>
      <c r="AA48">
        <v>4.9820000000000003E-2</v>
      </c>
      <c r="AB48">
        <v>-3.0939999999999999E-2</v>
      </c>
      <c r="AC48">
        <v>0.56089999999999995</v>
      </c>
      <c r="AD48">
        <v>0.54849999999999999</v>
      </c>
      <c r="AE48">
        <v>-2.2121999999999999E-2</v>
      </c>
      <c r="AF48">
        <v>0.94399999999999995</v>
      </c>
      <c r="AG48">
        <v>0.80200000000000005</v>
      </c>
      <c r="AI48" t="s">
        <v>15</v>
      </c>
      <c r="AJ48">
        <v>-1.58</v>
      </c>
      <c r="AK48">
        <v>-1.7776000000000001</v>
      </c>
      <c r="AL48">
        <v>-0.19694</v>
      </c>
      <c r="AM48">
        <v>0.12459000000000001</v>
      </c>
      <c r="AN48">
        <v>0.68679999999999997</v>
      </c>
      <c r="AO48">
        <v>0.67010000000000003</v>
      </c>
      <c r="AP48">
        <v>-2.4406000000000001E-2</v>
      </c>
      <c r="AQ48">
        <v>0.92800000000000005</v>
      </c>
      <c r="AR48">
        <v>0.74299999999999999</v>
      </c>
      <c r="AS48" s="14"/>
    </row>
    <row r="49" spans="1:45" x14ac:dyDescent="0.25">
      <c r="A49" s="14"/>
      <c r="B49" t="s">
        <v>16</v>
      </c>
      <c r="C49">
        <v>-7.9151999999999996</v>
      </c>
      <c r="D49">
        <v>-7.8975530000000003</v>
      </c>
      <c r="E49">
        <v>1.7623122500000001E-2</v>
      </c>
      <c r="F49">
        <v>0.69084900000000005</v>
      </c>
      <c r="G49">
        <v>0.69245299999999999</v>
      </c>
      <c r="H49">
        <v>2.3226483000000002E-3</v>
      </c>
      <c r="I49">
        <v>-2.2264979999999999E-3</v>
      </c>
      <c r="J49">
        <v>0.94299999999999995</v>
      </c>
      <c r="K49">
        <v>1</v>
      </c>
      <c r="M49" t="s">
        <v>16</v>
      </c>
      <c r="N49">
        <v>-7.7763999999999998</v>
      </c>
      <c r="O49">
        <v>-7.8557350000000001</v>
      </c>
      <c r="P49">
        <v>-7.9305990000000007E-2</v>
      </c>
      <c r="Q49">
        <v>0.77971299999999999</v>
      </c>
      <c r="R49">
        <v>0.77733399999999997</v>
      </c>
      <c r="S49">
        <v>-3.0515310000000001E-3</v>
      </c>
      <c r="T49">
        <v>1.01982529E-2</v>
      </c>
      <c r="U49">
        <v>0.95099999999999996</v>
      </c>
      <c r="V49">
        <v>1</v>
      </c>
      <c r="X49" t="s">
        <v>16</v>
      </c>
      <c r="Y49">
        <v>-7.92</v>
      </c>
      <c r="Z49">
        <v>-7.8803999999999998</v>
      </c>
      <c r="AA49">
        <v>3.4790000000000001E-2</v>
      </c>
      <c r="AB49">
        <v>-4.3899999999999998E-3</v>
      </c>
      <c r="AC49">
        <v>0.71919999999999995</v>
      </c>
      <c r="AD49">
        <v>0.68989999999999996</v>
      </c>
      <c r="AE49">
        <v>-4.0807999999999997E-2</v>
      </c>
      <c r="AF49">
        <v>0.94499999999999995</v>
      </c>
      <c r="AG49">
        <v>1</v>
      </c>
      <c r="AI49" t="s">
        <v>16</v>
      </c>
      <c r="AJ49">
        <v>-7.78</v>
      </c>
      <c r="AK49">
        <v>-7.8093000000000004</v>
      </c>
      <c r="AL49">
        <v>-3.2919999999999998E-2</v>
      </c>
      <c r="AM49">
        <v>4.2300000000000003E-3</v>
      </c>
      <c r="AN49">
        <v>0.8196</v>
      </c>
      <c r="AO49">
        <v>0.77459999999999996</v>
      </c>
      <c r="AP49">
        <v>-5.4911000000000001E-2</v>
      </c>
      <c r="AQ49">
        <v>0.94299999999999995</v>
      </c>
      <c r="AR49">
        <v>1</v>
      </c>
      <c r="AS49" s="14"/>
    </row>
    <row r="50" spans="1:45" x14ac:dyDescent="0.25">
      <c r="A50" s="14"/>
      <c r="B50" t="s">
        <v>17</v>
      </c>
      <c r="C50">
        <v>5.8681000000000001</v>
      </c>
      <c r="D50">
        <v>5.8638750000000002</v>
      </c>
      <c r="E50">
        <v>-4.2642619999999996E-3</v>
      </c>
      <c r="F50">
        <v>3.9997999999999999E-2</v>
      </c>
      <c r="G50">
        <v>4.1283E-2</v>
      </c>
      <c r="H50">
        <v>3.21273735E-2</v>
      </c>
      <c r="I50">
        <v>-7.2668099999999996E-4</v>
      </c>
      <c r="J50">
        <v>0.95099999999999996</v>
      </c>
      <c r="K50">
        <v>1</v>
      </c>
      <c r="M50" t="s">
        <v>17</v>
      </c>
      <c r="N50">
        <v>5.8643999999999998</v>
      </c>
      <c r="O50">
        <v>5.8450420000000003</v>
      </c>
      <c r="P50">
        <v>-1.9368316999999999E-2</v>
      </c>
      <c r="Q50">
        <v>3.9044000000000002E-2</v>
      </c>
      <c r="R50">
        <v>4.0112000000000002E-2</v>
      </c>
      <c r="S50">
        <v>2.7343972500000001E-2</v>
      </c>
      <c r="T50">
        <v>-3.3026879999999998E-3</v>
      </c>
      <c r="U50">
        <v>0.93200000000000005</v>
      </c>
      <c r="V50">
        <v>1</v>
      </c>
      <c r="X50" t="s">
        <v>17</v>
      </c>
      <c r="Y50">
        <v>5.87</v>
      </c>
      <c r="Z50">
        <v>5.8623000000000003</v>
      </c>
      <c r="AA50">
        <v>-5.8100000000000001E-3</v>
      </c>
      <c r="AB50">
        <v>-9.8999999999999999E-4</v>
      </c>
      <c r="AC50">
        <v>3.9399999999999998E-2</v>
      </c>
      <c r="AD50">
        <v>4.1099999999999998E-2</v>
      </c>
      <c r="AE50">
        <v>4.2680000000000003E-2</v>
      </c>
      <c r="AF50">
        <v>0.96</v>
      </c>
      <c r="AG50">
        <v>1</v>
      </c>
      <c r="AI50" t="s">
        <v>17</v>
      </c>
      <c r="AJ50">
        <v>5.86</v>
      </c>
      <c r="AK50">
        <v>5.8441000000000001</v>
      </c>
      <c r="AL50">
        <v>-2.0299999999999999E-2</v>
      </c>
      <c r="AM50">
        <v>-3.46E-3</v>
      </c>
      <c r="AN50">
        <v>3.7999999999999999E-2</v>
      </c>
      <c r="AO50">
        <v>3.9899999999999998E-2</v>
      </c>
      <c r="AP50">
        <v>5.0627999999999999E-2</v>
      </c>
      <c r="AQ50">
        <v>0.93600000000000005</v>
      </c>
      <c r="AR50">
        <v>1</v>
      </c>
      <c r="AS50" s="14"/>
    </row>
    <row r="51" spans="1:45" x14ac:dyDescent="0.25">
      <c r="A51" s="14"/>
      <c r="B51" t="s">
        <v>18</v>
      </c>
      <c r="C51">
        <v>2.8400000000000002E-2</v>
      </c>
      <c r="D51">
        <v>3.1569E-2</v>
      </c>
      <c r="E51">
        <v>3.1523783000000001E-3</v>
      </c>
      <c r="F51">
        <v>2.7108E-2</v>
      </c>
      <c r="G51">
        <v>2.6209E-2</v>
      </c>
      <c r="H51">
        <v>-3.3127706E-2</v>
      </c>
      <c r="I51">
        <v>0.110934688</v>
      </c>
      <c r="J51">
        <v>0.93600000000000005</v>
      </c>
      <c r="K51">
        <v>0.24099999999999999</v>
      </c>
      <c r="M51" t="s">
        <v>18</v>
      </c>
      <c r="N51">
        <v>3.2099999999999997E-2</v>
      </c>
      <c r="O51">
        <v>5.1570999999999999E-2</v>
      </c>
      <c r="P51">
        <v>1.9462829599999999E-2</v>
      </c>
      <c r="Q51">
        <v>2.4670000000000001E-2</v>
      </c>
      <c r="R51">
        <v>2.3474999999999999E-2</v>
      </c>
      <c r="S51">
        <v>-4.8456843999999999E-2</v>
      </c>
      <c r="T51">
        <v>0.60616020349999999</v>
      </c>
      <c r="U51">
        <v>0.85</v>
      </c>
      <c r="V51">
        <v>0.59599999999999997</v>
      </c>
      <c r="X51" t="s">
        <v>18</v>
      </c>
      <c r="Y51">
        <v>0.03</v>
      </c>
      <c r="Z51">
        <v>3.2800000000000003E-2</v>
      </c>
      <c r="AA51">
        <v>4.4299999999999999E-3</v>
      </c>
      <c r="AB51">
        <v>0.15589</v>
      </c>
      <c r="AC51">
        <v>2.75E-2</v>
      </c>
      <c r="AD51">
        <v>2.5999999999999999E-2</v>
      </c>
      <c r="AE51">
        <v>-5.4759000000000002E-2</v>
      </c>
      <c r="AF51">
        <v>0.93400000000000005</v>
      </c>
      <c r="AG51">
        <v>0.25800000000000001</v>
      </c>
      <c r="AI51" t="s">
        <v>18</v>
      </c>
      <c r="AJ51">
        <v>0.03</v>
      </c>
      <c r="AK51">
        <v>5.2299999999999999E-2</v>
      </c>
      <c r="AL51">
        <v>2.018E-2</v>
      </c>
      <c r="AM51">
        <v>0.62856000000000001</v>
      </c>
      <c r="AN51">
        <v>2.47E-2</v>
      </c>
      <c r="AO51">
        <v>2.3300000000000001E-2</v>
      </c>
      <c r="AP51">
        <v>-5.7432999999999998E-2</v>
      </c>
      <c r="AQ51">
        <v>0.84599999999999997</v>
      </c>
      <c r="AR51">
        <v>0.63100000000000001</v>
      </c>
      <c r="AS51" s="14"/>
    </row>
    <row r="53" spans="1:45" x14ac:dyDescent="0.25">
      <c r="A53" s="13" t="s">
        <v>97</v>
      </c>
      <c r="B53" s="1" t="s">
        <v>475</v>
      </c>
      <c r="J53" s="12" t="str">
        <f>INDEX('Method Codes'!$B:$B, MATCH(B53, 'Method Codes'!$I:$I,0))</f>
        <v>IND</v>
      </c>
      <c r="K53" s="12" t="str">
        <f>INDEX('Method Codes'!H:H, MATCH(B53, 'Method Codes'!I:I,0))</f>
        <v>5A</v>
      </c>
      <c r="M53" s="1" t="s">
        <v>499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5A</v>
      </c>
      <c r="X53" s="1" t="s">
        <v>120</v>
      </c>
      <c r="AI53" s="1" t="s">
        <v>123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107.33550099999999</v>
      </c>
      <c r="E55">
        <v>0.25809255479999998</v>
      </c>
      <c r="F55">
        <v>1.6973940000000001</v>
      </c>
      <c r="G55">
        <v>1.8607499999999999</v>
      </c>
      <c r="H55">
        <v>9.6239580800000002E-2</v>
      </c>
      <c r="I55">
        <v>2.4103362E-3</v>
      </c>
      <c r="J55">
        <v>0.96499999999999997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106.70109100000001</v>
      </c>
      <c r="P55">
        <v>-0.111365489</v>
      </c>
      <c r="Q55">
        <v>2.1287419999999999</v>
      </c>
      <c r="R55">
        <v>2.3857539999999999</v>
      </c>
      <c r="S55">
        <v>0.1207346057</v>
      </c>
      <c r="T55">
        <v>-1.0426260000000001E-3</v>
      </c>
      <c r="U55">
        <v>0.97199999999999998</v>
      </c>
      <c r="V55">
        <v>0</v>
      </c>
      <c r="X55" t="s">
        <v>12</v>
      </c>
      <c r="Y55">
        <v>107.08</v>
      </c>
      <c r="Z55">
        <v>107.341106</v>
      </c>
      <c r="AA55">
        <v>0.26369999999999999</v>
      </c>
      <c r="AB55">
        <v>2.4599999999999999E-3</v>
      </c>
      <c r="AC55">
        <v>1.7108699999999999</v>
      </c>
      <c r="AD55">
        <v>1.8680099999999999</v>
      </c>
      <c r="AE55">
        <v>9.1850000000000001E-2</v>
      </c>
      <c r="AF55">
        <v>0.96499999999999997</v>
      </c>
      <c r="AG55">
        <v>0</v>
      </c>
      <c r="AI55" t="s">
        <v>12</v>
      </c>
      <c r="AJ55">
        <v>106.81</v>
      </c>
      <c r="AK55">
        <v>106.667372</v>
      </c>
      <c r="AL55">
        <v>-0.14507999999999999</v>
      </c>
      <c r="AM55">
        <v>-1.3600000000000001E-3</v>
      </c>
      <c r="AN55">
        <v>2.1375389999999999</v>
      </c>
      <c r="AO55">
        <v>2.3960599999999999</v>
      </c>
      <c r="AP55">
        <v>0.12094000000000001</v>
      </c>
      <c r="AQ55">
        <v>0.97699999999999998</v>
      </c>
      <c r="AR55">
        <v>0</v>
      </c>
      <c r="AS55" s="14"/>
    </row>
    <row r="56" spans="1:45" x14ac:dyDescent="0.25">
      <c r="A56" s="14"/>
      <c r="B56" t="s">
        <v>13</v>
      </c>
      <c r="C56">
        <v>-4.7686000000000002</v>
      </c>
      <c r="D56">
        <v>-5.0000140000000002</v>
      </c>
      <c r="E56">
        <v>-0.23137212900000001</v>
      </c>
      <c r="F56">
        <v>0.68112700000000004</v>
      </c>
      <c r="G56">
        <v>0.73923399999999995</v>
      </c>
      <c r="H56">
        <v>8.5310035199999995E-2</v>
      </c>
      <c r="I56">
        <v>4.8519504099999999E-2</v>
      </c>
      <c r="J56">
        <v>0.95399999999999996</v>
      </c>
      <c r="K56">
        <v>0</v>
      </c>
      <c r="M56" t="s">
        <v>13</v>
      </c>
      <c r="N56">
        <v>-4.7992999999999997</v>
      </c>
      <c r="O56">
        <v>-4.9836689999999999</v>
      </c>
      <c r="P56">
        <v>-0.18438743899999999</v>
      </c>
      <c r="Q56">
        <v>0.82699599999999995</v>
      </c>
      <c r="R56">
        <v>0.90887600000000002</v>
      </c>
      <c r="S56">
        <v>9.9009545500000004E-2</v>
      </c>
      <c r="T56">
        <v>3.84197976E-2</v>
      </c>
      <c r="U56">
        <v>0.96599999999999997</v>
      </c>
      <c r="V56">
        <v>0</v>
      </c>
      <c r="X56" t="s">
        <v>13</v>
      </c>
      <c r="Y56">
        <v>-4.7699999999999996</v>
      </c>
      <c r="Z56">
        <v>-4.9932980000000002</v>
      </c>
      <c r="AA56">
        <v>-0.22466</v>
      </c>
      <c r="AB56">
        <v>4.7109999999999999E-2</v>
      </c>
      <c r="AC56">
        <v>0.70895699999999995</v>
      </c>
      <c r="AD56">
        <v>0.74141800000000002</v>
      </c>
      <c r="AE56">
        <v>4.5789999999999997E-2</v>
      </c>
      <c r="AF56">
        <v>0.96199999999999997</v>
      </c>
      <c r="AG56">
        <v>0</v>
      </c>
      <c r="AI56" t="s">
        <v>13</v>
      </c>
      <c r="AJ56">
        <v>-4.8</v>
      </c>
      <c r="AK56">
        <v>-4.9867980000000003</v>
      </c>
      <c r="AL56">
        <v>-0.18751999999999999</v>
      </c>
      <c r="AM56">
        <v>3.9070000000000001E-2</v>
      </c>
      <c r="AN56">
        <v>0.85849900000000001</v>
      </c>
      <c r="AO56">
        <v>0.91210899999999995</v>
      </c>
      <c r="AP56">
        <v>6.2449999999999999E-2</v>
      </c>
      <c r="AQ56">
        <v>0.96499999999999997</v>
      </c>
      <c r="AR56">
        <v>0</v>
      </c>
      <c r="AS56" s="14"/>
    </row>
    <row r="57" spans="1:45" x14ac:dyDescent="0.25">
      <c r="A57" s="14"/>
      <c r="B57" t="s">
        <v>14</v>
      </c>
      <c r="C57">
        <v>8.6966999999999999</v>
      </c>
      <c r="D57">
        <v>10.572397</v>
      </c>
      <c r="E57">
        <v>1.8756978301</v>
      </c>
      <c r="F57">
        <v>0.39163399999999998</v>
      </c>
      <c r="G57">
        <v>0.409742</v>
      </c>
      <c r="H57">
        <v>4.62386163E-2</v>
      </c>
      <c r="I57">
        <v>0.2156792941</v>
      </c>
      <c r="J57">
        <v>4.0000000000000001E-3</v>
      </c>
      <c r="K57">
        <v>0</v>
      </c>
      <c r="M57" t="s">
        <v>14</v>
      </c>
      <c r="N57">
        <v>8.7021999999999995</v>
      </c>
      <c r="O57">
        <v>11.222224000000001</v>
      </c>
      <c r="P57">
        <v>2.5200162062000002</v>
      </c>
      <c r="Q57">
        <v>0.46329399999999998</v>
      </c>
      <c r="R57">
        <v>0.45583200000000001</v>
      </c>
      <c r="S57">
        <v>-1.6105675E-2</v>
      </c>
      <c r="T57">
        <v>0.2895835625</v>
      </c>
      <c r="U57">
        <v>1E-3</v>
      </c>
      <c r="V57">
        <v>0</v>
      </c>
      <c r="X57" t="s">
        <v>14</v>
      </c>
      <c r="Y57">
        <v>8.6999999999999993</v>
      </c>
      <c r="Z57">
        <v>10.565616</v>
      </c>
      <c r="AA57">
        <v>1.8689199999999999</v>
      </c>
      <c r="AB57">
        <v>0.21490000000000001</v>
      </c>
      <c r="AC57">
        <v>0.37882500000000002</v>
      </c>
      <c r="AD57">
        <v>0.40844000000000003</v>
      </c>
      <c r="AE57">
        <v>7.8179999999999999E-2</v>
      </c>
      <c r="AF57">
        <v>3.0000000000000001E-3</v>
      </c>
      <c r="AG57">
        <v>0</v>
      </c>
      <c r="AI57" t="s">
        <v>14</v>
      </c>
      <c r="AJ57">
        <v>8.6999999999999993</v>
      </c>
      <c r="AK57">
        <v>11.235998</v>
      </c>
      <c r="AL57">
        <v>2.5337900000000002</v>
      </c>
      <c r="AM57">
        <v>0.29116999999999998</v>
      </c>
      <c r="AN57">
        <v>0.42724400000000001</v>
      </c>
      <c r="AO57">
        <v>0.45455299999999998</v>
      </c>
      <c r="AP57">
        <v>6.3920000000000005E-2</v>
      </c>
      <c r="AQ57">
        <v>0</v>
      </c>
      <c r="AR57">
        <v>0</v>
      </c>
      <c r="AS57" s="14"/>
    </row>
    <row r="58" spans="1:45" x14ac:dyDescent="0.25">
      <c r="A58" s="14"/>
      <c r="B58" t="s">
        <v>15</v>
      </c>
      <c r="C58">
        <v>-1.6103000000000001</v>
      </c>
      <c r="D58">
        <v>-1.3536809999999999</v>
      </c>
      <c r="E58">
        <v>0.25661311590000002</v>
      </c>
      <c r="F58">
        <v>0.436249</v>
      </c>
      <c r="G58">
        <v>0.46544200000000002</v>
      </c>
      <c r="H58">
        <v>6.6920030699999994E-2</v>
      </c>
      <c r="I58">
        <v>-0.15935787300000001</v>
      </c>
      <c r="J58">
        <v>0.93100000000000005</v>
      </c>
      <c r="K58">
        <v>0</v>
      </c>
      <c r="M58" t="s">
        <v>15</v>
      </c>
      <c r="N58">
        <v>-1.5806</v>
      </c>
      <c r="O58">
        <v>-1.1471640000000001</v>
      </c>
      <c r="P58">
        <v>0.43346159159999997</v>
      </c>
      <c r="Q58">
        <v>0.59179599999999999</v>
      </c>
      <c r="R58">
        <v>0.64239599999999997</v>
      </c>
      <c r="S58">
        <v>8.55023845E-2</v>
      </c>
      <c r="T58">
        <v>-0.27423414200000001</v>
      </c>
      <c r="U58">
        <v>0.92500000000000004</v>
      </c>
      <c r="V58">
        <v>0</v>
      </c>
      <c r="X58" t="s">
        <v>15</v>
      </c>
      <c r="Y58">
        <v>-1.61</v>
      </c>
      <c r="Z58">
        <v>-1.3702179999999999</v>
      </c>
      <c r="AA58">
        <v>0.24007999999999999</v>
      </c>
      <c r="AB58">
        <v>-0.14909</v>
      </c>
      <c r="AC58">
        <v>0.42876399999999998</v>
      </c>
      <c r="AD58">
        <v>0.46510400000000002</v>
      </c>
      <c r="AE58">
        <v>8.4760000000000002E-2</v>
      </c>
      <c r="AF58">
        <v>0.94699999999999995</v>
      </c>
      <c r="AG58">
        <v>0</v>
      </c>
      <c r="AI58" t="s">
        <v>15</v>
      </c>
      <c r="AJ58">
        <v>-1.58</v>
      </c>
      <c r="AK58">
        <v>-1.155437</v>
      </c>
      <c r="AL58">
        <v>0.42519000000000001</v>
      </c>
      <c r="AM58">
        <v>-0.26900000000000002</v>
      </c>
      <c r="AN58">
        <v>0.58975100000000003</v>
      </c>
      <c r="AO58">
        <v>0.64055799999999996</v>
      </c>
      <c r="AP58">
        <v>8.6150000000000004E-2</v>
      </c>
      <c r="AQ58">
        <v>0.93200000000000005</v>
      </c>
      <c r="AR58">
        <v>0</v>
      </c>
      <c r="AS58" s="14"/>
    </row>
    <row r="59" spans="1:45" x14ac:dyDescent="0.25">
      <c r="A59" s="14"/>
      <c r="B59" t="s">
        <v>16</v>
      </c>
      <c r="C59">
        <v>-7.9151999999999996</v>
      </c>
      <c r="D59">
        <v>-9.4146389999999993</v>
      </c>
      <c r="E59">
        <v>-1.499463024</v>
      </c>
      <c r="F59">
        <v>0.44110100000000002</v>
      </c>
      <c r="G59">
        <v>0.481159</v>
      </c>
      <c r="H59">
        <v>9.0812975099999999E-2</v>
      </c>
      <c r="I59">
        <v>0.1894415351</v>
      </c>
      <c r="J59">
        <v>0.123</v>
      </c>
      <c r="K59">
        <v>0</v>
      </c>
      <c r="M59" t="s">
        <v>16</v>
      </c>
      <c r="N59">
        <v>-7.7763999999999998</v>
      </c>
      <c r="O59">
        <v>-9.9162029999999994</v>
      </c>
      <c r="P59">
        <v>-2.1397735920000001</v>
      </c>
      <c r="Q59">
        <v>0.49399900000000002</v>
      </c>
      <c r="R59">
        <v>0.53224700000000003</v>
      </c>
      <c r="S59">
        <v>7.7425339900000001E-2</v>
      </c>
      <c r="T59">
        <v>0.27516146540000003</v>
      </c>
      <c r="U59">
        <v>2.3E-2</v>
      </c>
      <c r="V59">
        <v>0</v>
      </c>
      <c r="X59" t="s">
        <v>16</v>
      </c>
      <c r="Y59">
        <v>-7.92</v>
      </c>
      <c r="Z59">
        <v>-9.4102259999999998</v>
      </c>
      <c r="AA59">
        <v>-1.49505</v>
      </c>
      <c r="AB59">
        <v>0.18887999999999999</v>
      </c>
      <c r="AC59">
        <v>0.45264300000000002</v>
      </c>
      <c r="AD59">
        <v>0.48172700000000002</v>
      </c>
      <c r="AE59">
        <v>6.4250000000000002E-2</v>
      </c>
      <c r="AF59">
        <v>0.122</v>
      </c>
      <c r="AG59">
        <v>0</v>
      </c>
      <c r="AI59" t="s">
        <v>16</v>
      </c>
      <c r="AJ59">
        <v>-7.78</v>
      </c>
      <c r="AK59">
        <v>-9.9073879999999992</v>
      </c>
      <c r="AL59">
        <v>-2.13096</v>
      </c>
      <c r="AM59">
        <v>0.27403</v>
      </c>
      <c r="AN59">
        <v>0.51048300000000002</v>
      </c>
      <c r="AO59">
        <v>0.53205800000000003</v>
      </c>
      <c r="AP59">
        <v>4.2270000000000002E-2</v>
      </c>
      <c r="AQ59">
        <v>2.9000000000000001E-2</v>
      </c>
      <c r="AR59">
        <v>0</v>
      </c>
      <c r="AS59" s="14"/>
    </row>
    <row r="60" spans="1:45" x14ac:dyDescent="0.25">
      <c r="A60" s="14"/>
      <c r="B60" t="s">
        <v>17</v>
      </c>
      <c r="C60">
        <v>5.8681000000000001</v>
      </c>
      <c r="D60">
        <v>5.8287570000000004</v>
      </c>
      <c r="E60">
        <v>-3.9382201999999998E-2</v>
      </c>
      <c r="F60">
        <v>3.3069000000000001E-2</v>
      </c>
      <c r="G60">
        <v>3.6788000000000001E-2</v>
      </c>
      <c r="H60">
        <v>0.1124562579</v>
      </c>
      <c r="I60">
        <v>-6.711191E-3</v>
      </c>
      <c r="J60">
        <v>0.83199999999999996</v>
      </c>
      <c r="K60">
        <v>0</v>
      </c>
      <c r="M60" t="s">
        <v>17</v>
      </c>
      <c r="N60">
        <v>5.8643999999999998</v>
      </c>
      <c r="O60">
        <v>5.7986300000000002</v>
      </c>
      <c r="P60">
        <v>-6.5780942999999995E-2</v>
      </c>
      <c r="Q60">
        <v>3.1968999999999997E-2</v>
      </c>
      <c r="R60">
        <v>3.6020000000000003E-2</v>
      </c>
      <c r="S60">
        <v>0.12672206720000001</v>
      </c>
      <c r="T60">
        <v>-1.1216973999999999E-2</v>
      </c>
      <c r="U60">
        <v>0.59299999999999997</v>
      </c>
      <c r="V60">
        <v>0</v>
      </c>
      <c r="X60" t="s">
        <v>17</v>
      </c>
      <c r="Y60">
        <v>5.87</v>
      </c>
      <c r="Z60">
        <v>5.825088</v>
      </c>
      <c r="AA60">
        <v>-4.3049999999999998E-2</v>
      </c>
      <c r="AB60">
        <v>-7.3400000000000002E-3</v>
      </c>
      <c r="AC60">
        <v>3.3408E-2</v>
      </c>
      <c r="AD60">
        <v>3.6937999999999999E-2</v>
      </c>
      <c r="AE60">
        <v>0.10566</v>
      </c>
      <c r="AF60">
        <v>0.82299999999999995</v>
      </c>
      <c r="AG60">
        <v>0</v>
      </c>
      <c r="AI60" t="s">
        <v>17</v>
      </c>
      <c r="AJ60">
        <v>5.86</v>
      </c>
      <c r="AK60">
        <v>5.7945710000000004</v>
      </c>
      <c r="AL60">
        <v>-6.9839999999999999E-2</v>
      </c>
      <c r="AM60">
        <v>-1.191E-2</v>
      </c>
      <c r="AN60">
        <v>3.2274999999999998E-2</v>
      </c>
      <c r="AO60">
        <v>3.6310000000000002E-2</v>
      </c>
      <c r="AP60">
        <v>0.12503</v>
      </c>
      <c r="AQ60">
        <v>0.54600000000000004</v>
      </c>
      <c r="AR60">
        <v>0</v>
      </c>
      <c r="AS60" s="14"/>
    </row>
    <row r="61" spans="1:45" x14ac:dyDescent="0.25">
      <c r="A61" s="14"/>
      <c r="B61" t="s">
        <v>18</v>
      </c>
      <c r="C61">
        <v>2.8400000000000002E-2</v>
      </c>
      <c r="D61">
        <v>1.65E-4</v>
      </c>
      <c r="E61">
        <v>-2.8251627000000001E-2</v>
      </c>
      <c r="F61">
        <v>2.6287000000000001E-2</v>
      </c>
      <c r="G61">
        <v>3.0129E-2</v>
      </c>
      <c r="H61">
        <v>0.1461236497</v>
      </c>
      <c r="I61">
        <v>-0.99419712400000004</v>
      </c>
      <c r="J61">
        <v>0.91400000000000003</v>
      </c>
      <c r="K61">
        <v>0</v>
      </c>
      <c r="M61" t="s">
        <v>18</v>
      </c>
      <c r="N61">
        <v>3.2099999999999997E-2</v>
      </c>
      <c r="O61">
        <v>4.2069999999999998E-3</v>
      </c>
      <c r="P61">
        <v>-2.7900946999999999E-2</v>
      </c>
      <c r="Q61">
        <v>2.6571000000000001E-2</v>
      </c>
      <c r="R61">
        <v>3.0508E-2</v>
      </c>
      <c r="S61">
        <v>0.14817514130000001</v>
      </c>
      <c r="T61">
        <v>-0.86896120600000004</v>
      </c>
      <c r="U61">
        <v>0.94</v>
      </c>
      <c r="V61">
        <v>0</v>
      </c>
      <c r="X61" t="s">
        <v>18</v>
      </c>
      <c r="Y61">
        <v>0.03</v>
      </c>
      <c r="Z61">
        <v>2.4689999999999998E-3</v>
      </c>
      <c r="AA61">
        <v>-2.5950000000000001E-2</v>
      </c>
      <c r="AB61">
        <v>-0.91312000000000004</v>
      </c>
      <c r="AC61">
        <v>2.6991999999999999E-2</v>
      </c>
      <c r="AD61">
        <v>3.0315999999999999E-2</v>
      </c>
      <c r="AE61">
        <v>0.12311999999999999</v>
      </c>
      <c r="AF61">
        <v>0.90900000000000003</v>
      </c>
      <c r="AG61">
        <v>0</v>
      </c>
      <c r="AI61" t="s">
        <v>18</v>
      </c>
      <c r="AJ61">
        <v>0.03</v>
      </c>
      <c r="AK61">
        <v>6.6540000000000002E-3</v>
      </c>
      <c r="AL61">
        <v>-2.545E-2</v>
      </c>
      <c r="AM61">
        <v>-0.79276999999999997</v>
      </c>
      <c r="AN61">
        <v>2.7684E-2</v>
      </c>
      <c r="AO61">
        <v>3.0709E-2</v>
      </c>
      <c r="AP61">
        <v>0.10926</v>
      </c>
      <c r="AQ61">
        <v>0.92700000000000005</v>
      </c>
      <c r="AR61">
        <v>0</v>
      </c>
      <c r="AS61" s="14"/>
    </row>
    <row r="63" spans="1:45" x14ac:dyDescent="0.25">
      <c r="A63" s="13" t="s">
        <v>98</v>
      </c>
      <c r="B63" s="1" t="s">
        <v>483</v>
      </c>
      <c r="J63" s="12" t="str">
        <f>INDEX('Method Codes'!$B:$B, MATCH(B63, 'Method Codes'!$I:$I,0))</f>
        <v>IND</v>
      </c>
      <c r="K63" s="12" t="str">
        <f>INDEX('Method Codes'!H:H, MATCH(B63, 'Method Codes'!I:I,0))</f>
        <v>6A</v>
      </c>
      <c r="M63" s="1" t="s">
        <v>498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6A</v>
      </c>
      <c r="X63" s="1" t="s">
        <v>121</v>
      </c>
      <c r="AI63" s="1" t="s">
        <v>122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107.11582</v>
      </c>
      <c r="E65">
        <v>3.8411644699999997E-2</v>
      </c>
      <c r="F65">
        <v>1.7312350000000001</v>
      </c>
      <c r="G65">
        <v>1.701174</v>
      </c>
      <c r="H65">
        <v>-1.7364233999999999E-2</v>
      </c>
      <c r="I65">
        <v>3.5872779999999998E-4</v>
      </c>
      <c r="J65">
        <v>0.94899999999999995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107.07843699999999</v>
      </c>
      <c r="P65">
        <v>0.2659803697</v>
      </c>
      <c r="Q65">
        <v>2.0980020000000001</v>
      </c>
      <c r="R65">
        <v>2.0547939999999998</v>
      </c>
      <c r="S65">
        <v>-2.0594628E-2</v>
      </c>
      <c r="T65">
        <v>2.4901624999999999E-3</v>
      </c>
      <c r="U65">
        <v>0.93500000000000005</v>
      </c>
      <c r="V65">
        <v>1</v>
      </c>
      <c r="X65" t="s">
        <v>12</v>
      </c>
      <c r="Y65">
        <v>107.08</v>
      </c>
      <c r="Z65">
        <v>107.18859999999999</v>
      </c>
      <c r="AA65">
        <v>0.11115999999999999</v>
      </c>
      <c r="AB65">
        <v>1.0380000000000001E-3</v>
      </c>
      <c r="AC65">
        <v>1.7302</v>
      </c>
      <c r="AD65">
        <v>1.6946000000000001</v>
      </c>
      <c r="AE65">
        <v>-2.0586E-2</v>
      </c>
      <c r="AF65">
        <v>0.94699999999999995</v>
      </c>
      <c r="AG65">
        <v>1</v>
      </c>
      <c r="AI65" t="s">
        <v>12</v>
      </c>
      <c r="AJ65">
        <v>106.81</v>
      </c>
      <c r="AK65">
        <v>107.1418</v>
      </c>
      <c r="AL65">
        <v>0.32939000000000002</v>
      </c>
      <c r="AM65">
        <v>3.0799999999999998E-3</v>
      </c>
      <c r="AN65">
        <v>2.0893000000000002</v>
      </c>
      <c r="AO65">
        <v>2.0453000000000001</v>
      </c>
      <c r="AP65">
        <v>-2.1054E-2</v>
      </c>
      <c r="AQ65">
        <v>0.94599999999999995</v>
      </c>
      <c r="AR65">
        <v>1</v>
      </c>
      <c r="AS65" s="14"/>
    </row>
    <row r="66" spans="1:45" x14ac:dyDescent="0.25">
      <c r="A66" s="14"/>
      <c r="B66" t="s">
        <v>13</v>
      </c>
      <c r="C66">
        <v>-4.7686000000000002</v>
      </c>
      <c r="D66">
        <v>-4.7668650000000001</v>
      </c>
      <c r="E66">
        <v>1.7770284999999999E-3</v>
      </c>
      <c r="F66">
        <v>0.65183199999999997</v>
      </c>
      <c r="G66">
        <v>0.65154500000000004</v>
      </c>
      <c r="H66">
        <v>-4.4093399999999998E-4</v>
      </c>
      <c r="I66">
        <v>-3.7264900000000002E-4</v>
      </c>
      <c r="J66">
        <v>0.95199999999999996</v>
      </c>
      <c r="K66">
        <v>1</v>
      </c>
      <c r="M66" t="s">
        <v>13</v>
      </c>
      <c r="N66">
        <v>-4.7992999999999997</v>
      </c>
      <c r="O66">
        <v>-4.7748020000000002</v>
      </c>
      <c r="P66">
        <v>2.4479894299999999E-2</v>
      </c>
      <c r="Q66">
        <v>0.76163000000000003</v>
      </c>
      <c r="R66">
        <v>0.75766</v>
      </c>
      <c r="S66">
        <v>-5.2133450000000003E-3</v>
      </c>
      <c r="T66">
        <v>-5.1007409999999998E-3</v>
      </c>
      <c r="U66">
        <v>0.95</v>
      </c>
      <c r="V66">
        <v>1</v>
      </c>
      <c r="X66" t="s">
        <v>13</v>
      </c>
      <c r="Y66">
        <v>-4.7699999999999996</v>
      </c>
      <c r="Z66">
        <v>-4.7276999999999996</v>
      </c>
      <c r="AA66">
        <v>4.0890000000000003E-2</v>
      </c>
      <c r="AB66">
        <v>-8.5760000000000003E-3</v>
      </c>
      <c r="AC66">
        <v>0.67379999999999995</v>
      </c>
      <c r="AD66">
        <v>0.6482</v>
      </c>
      <c r="AE66">
        <v>-3.8061999999999999E-2</v>
      </c>
      <c r="AF66">
        <v>0.94</v>
      </c>
      <c r="AG66">
        <v>1</v>
      </c>
      <c r="AI66" t="s">
        <v>13</v>
      </c>
      <c r="AJ66">
        <v>-4.8</v>
      </c>
      <c r="AK66">
        <v>-4.7436999999999996</v>
      </c>
      <c r="AL66">
        <v>5.5550000000000002E-2</v>
      </c>
      <c r="AM66">
        <v>-1.158E-2</v>
      </c>
      <c r="AN66">
        <v>0.77359999999999995</v>
      </c>
      <c r="AO66">
        <v>0.75380000000000003</v>
      </c>
      <c r="AP66">
        <v>-2.5544000000000001E-2</v>
      </c>
      <c r="AQ66">
        <v>0.95099999999999996</v>
      </c>
      <c r="AR66">
        <v>1</v>
      </c>
      <c r="AS66" s="14"/>
    </row>
    <row r="67" spans="1:45" x14ac:dyDescent="0.25">
      <c r="A67" s="14"/>
      <c r="B67" t="s">
        <v>14</v>
      </c>
      <c r="C67">
        <v>8.6966999999999999</v>
      </c>
      <c r="D67">
        <v>8.6988070000000004</v>
      </c>
      <c r="E67">
        <v>2.1080547000000001E-3</v>
      </c>
      <c r="F67">
        <v>0.39236599999999999</v>
      </c>
      <c r="G67">
        <v>0.38603599999999999</v>
      </c>
      <c r="H67">
        <v>-1.6132924999999999E-2</v>
      </c>
      <c r="I67">
        <v>2.423971E-4</v>
      </c>
      <c r="J67">
        <v>0.94399999999999995</v>
      </c>
      <c r="K67">
        <v>1</v>
      </c>
      <c r="M67" t="s">
        <v>14</v>
      </c>
      <c r="N67">
        <v>8.7021999999999995</v>
      </c>
      <c r="O67">
        <v>9.1287800000000008</v>
      </c>
      <c r="P67">
        <v>0.4265727829</v>
      </c>
      <c r="Q67">
        <v>0.43514999999999998</v>
      </c>
      <c r="R67">
        <v>0.42569000000000001</v>
      </c>
      <c r="S67">
        <v>-2.1740353E-2</v>
      </c>
      <c r="T67">
        <v>4.9018917400000001E-2</v>
      </c>
      <c r="U67">
        <v>0.83699999999999997</v>
      </c>
      <c r="V67">
        <v>1</v>
      </c>
      <c r="X67" t="s">
        <v>14</v>
      </c>
      <c r="Y67">
        <v>8.6999999999999993</v>
      </c>
      <c r="Z67">
        <v>8.6948000000000008</v>
      </c>
      <c r="AA67">
        <v>-1.9E-3</v>
      </c>
      <c r="AB67">
        <v>-2.1900000000000001E-4</v>
      </c>
      <c r="AC67">
        <v>0.37890000000000001</v>
      </c>
      <c r="AD67">
        <v>0.38440000000000002</v>
      </c>
      <c r="AE67">
        <v>1.4593E-2</v>
      </c>
      <c r="AF67">
        <v>0.96299999999999997</v>
      </c>
      <c r="AG67">
        <v>1</v>
      </c>
      <c r="AI67" t="s">
        <v>14</v>
      </c>
      <c r="AJ67">
        <v>8.6999999999999993</v>
      </c>
      <c r="AK67">
        <v>9.1403999999999996</v>
      </c>
      <c r="AL67">
        <v>0.43822</v>
      </c>
      <c r="AM67">
        <v>5.0360000000000002E-2</v>
      </c>
      <c r="AN67">
        <v>0.4148</v>
      </c>
      <c r="AO67">
        <v>0.42380000000000001</v>
      </c>
      <c r="AP67">
        <v>2.1704000000000001E-2</v>
      </c>
      <c r="AQ67">
        <v>0.83199999999999996</v>
      </c>
      <c r="AR67">
        <v>1</v>
      </c>
      <c r="AS67" s="14"/>
    </row>
    <row r="68" spans="1:45" x14ac:dyDescent="0.25">
      <c r="A68" s="14"/>
      <c r="B68" t="s">
        <v>15</v>
      </c>
      <c r="C68">
        <v>-1.6103000000000001</v>
      </c>
      <c r="D68">
        <v>-1.6161430000000001</v>
      </c>
      <c r="E68">
        <v>-5.8484059999999996E-3</v>
      </c>
      <c r="F68">
        <v>0.41699199999999997</v>
      </c>
      <c r="G68">
        <v>0.40879199999999999</v>
      </c>
      <c r="H68">
        <v>-1.9665081000000001E-2</v>
      </c>
      <c r="I68">
        <v>3.631886E-3</v>
      </c>
      <c r="J68">
        <v>0.94699999999999995</v>
      </c>
      <c r="K68">
        <v>0.97399999999999998</v>
      </c>
      <c r="M68" t="s">
        <v>15</v>
      </c>
      <c r="N68">
        <v>-1.5806</v>
      </c>
      <c r="O68">
        <v>-1.6856640000000001</v>
      </c>
      <c r="P68">
        <v>-0.105038334</v>
      </c>
      <c r="Q68">
        <v>0.51622999999999997</v>
      </c>
      <c r="R68">
        <v>0.51003600000000004</v>
      </c>
      <c r="S68">
        <v>-1.1996878000000001E-2</v>
      </c>
      <c r="T68">
        <v>6.6453632600000007E-2</v>
      </c>
      <c r="U68">
        <v>0.93400000000000005</v>
      </c>
      <c r="V68">
        <v>0.90600000000000003</v>
      </c>
      <c r="X68" t="s">
        <v>15</v>
      </c>
      <c r="Y68">
        <v>-1.61</v>
      </c>
      <c r="Z68">
        <v>-1.6476999999999999</v>
      </c>
      <c r="AA68">
        <v>-3.7400000000000003E-2</v>
      </c>
      <c r="AB68">
        <v>2.3224000000000002E-2</v>
      </c>
      <c r="AC68">
        <v>0.40889999999999999</v>
      </c>
      <c r="AD68">
        <v>0.40720000000000001</v>
      </c>
      <c r="AE68">
        <v>-4.0460000000000001E-3</v>
      </c>
      <c r="AF68">
        <v>0.95</v>
      </c>
      <c r="AG68">
        <v>0.98299999999999998</v>
      </c>
      <c r="AI68" t="s">
        <v>15</v>
      </c>
      <c r="AJ68">
        <v>-1.58</v>
      </c>
      <c r="AK68">
        <v>-1.7145999999999999</v>
      </c>
      <c r="AL68">
        <v>-0.13392999999999999</v>
      </c>
      <c r="AM68">
        <v>8.473E-2</v>
      </c>
      <c r="AN68">
        <v>0.51029999999999998</v>
      </c>
      <c r="AO68">
        <v>0.50690000000000002</v>
      </c>
      <c r="AP68">
        <v>-6.7279999999999996E-3</v>
      </c>
      <c r="AQ68">
        <v>0.94199999999999995</v>
      </c>
      <c r="AR68">
        <v>0.89900000000000002</v>
      </c>
      <c r="AS68" s="14"/>
    </row>
    <row r="69" spans="1:45" x14ac:dyDescent="0.25">
      <c r="A69" s="14"/>
      <c r="B69" t="s">
        <v>16</v>
      </c>
      <c r="C69">
        <v>-7.9151999999999996</v>
      </c>
      <c r="D69">
        <v>-7.9170920000000002</v>
      </c>
      <c r="E69">
        <v>-1.9162440000000001E-3</v>
      </c>
      <c r="F69">
        <v>0.48679899999999998</v>
      </c>
      <c r="G69">
        <v>0.48823800000000001</v>
      </c>
      <c r="H69">
        <v>2.9567690000000002E-3</v>
      </c>
      <c r="I69">
        <v>2.4209749999999999E-4</v>
      </c>
      <c r="J69">
        <v>0.94199999999999995</v>
      </c>
      <c r="K69">
        <v>1</v>
      </c>
      <c r="M69" t="s">
        <v>16</v>
      </c>
      <c r="N69">
        <v>-7.7763999999999998</v>
      </c>
      <c r="O69">
        <v>-8.2180099999999996</v>
      </c>
      <c r="P69">
        <v>-0.44158113300000001</v>
      </c>
      <c r="Q69">
        <v>0.52278500000000006</v>
      </c>
      <c r="R69">
        <v>0.52986200000000006</v>
      </c>
      <c r="S69">
        <v>1.3536804499999999E-2</v>
      </c>
      <c r="T69">
        <v>5.6784564500000002E-2</v>
      </c>
      <c r="U69">
        <v>0.87</v>
      </c>
      <c r="V69">
        <v>1</v>
      </c>
      <c r="X69" t="s">
        <v>16</v>
      </c>
      <c r="Y69">
        <v>-7.92</v>
      </c>
      <c r="Z69">
        <v>-7.9036999999999997</v>
      </c>
      <c r="AA69">
        <v>1.15E-2</v>
      </c>
      <c r="AB69">
        <v>-1.4530000000000001E-3</v>
      </c>
      <c r="AC69">
        <v>0.50419999999999998</v>
      </c>
      <c r="AD69">
        <v>0.48749999999999999</v>
      </c>
      <c r="AE69">
        <v>-3.3209000000000002E-2</v>
      </c>
      <c r="AF69">
        <v>0.94699999999999995</v>
      </c>
      <c r="AG69">
        <v>1</v>
      </c>
      <c r="AI69" t="s">
        <v>16</v>
      </c>
      <c r="AJ69">
        <v>-7.78</v>
      </c>
      <c r="AK69">
        <v>-8.1983999999999995</v>
      </c>
      <c r="AL69">
        <v>-0.42198999999999998</v>
      </c>
      <c r="AM69">
        <v>5.4269999999999999E-2</v>
      </c>
      <c r="AN69">
        <v>0.5554</v>
      </c>
      <c r="AO69">
        <v>0.52829999999999999</v>
      </c>
      <c r="AP69">
        <v>-4.8793000000000003E-2</v>
      </c>
      <c r="AQ69">
        <v>0.86899999999999999</v>
      </c>
      <c r="AR69">
        <v>1</v>
      </c>
      <c r="AS69" s="14"/>
    </row>
    <row r="70" spans="1:45" x14ac:dyDescent="0.25">
      <c r="A70" s="14"/>
      <c r="B70" t="s">
        <v>17</v>
      </c>
      <c r="C70">
        <v>5.8681000000000001</v>
      </c>
      <c r="D70">
        <v>5.8680700000000003</v>
      </c>
      <c r="E70">
        <v>-6.8714999999999995E-5</v>
      </c>
      <c r="F70">
        <v>3.8401999999999999E-2</v>
      </c>
      <c r="G70">
        <v>4.0141999999999997E-2</v>
      </c>
      <c r="H70">
        <v>4.5307474200000003E-2</v>
      </c>
      <c r="I70">
        <v>-1.171E-5</v>
      </c>
      <c r="J70">
        <v>0.96</v>
      </c>
      <c r="K70">
        <v>1</v>
      </c>
      <c r="M70" t="s">
        <v>17</v>
      </c>
      <c r="N70">
        <v>5.8643999999999998</v>
      </c>
      <c r="O70">
        <v>5.8801889999999997</v>
      </c>
      <c r="P70">
        <v>1.57778755E-2</v>
      </c>
      <c r="Q70">
        <v>3.5276000000000002E-2</v>
      </c>
      <c r="R70">
        <v>3.6304000000000003E-2</v>
      </c>
      <c r="S70">
        <v>2.9136636E-2</v>
      </c>
      <c r="T70">
        <v>2.6904452000000001E-3</v>
      </c>
      <c r="U70">
        <v>0.93400000000000005</v>
      </c>
      <c r="V70">
        <v>1</v>
      </c>
      <c r="X70" t="s">
        <v>17</v>
      </c>
      <c r="Y70">
        <v>5.87</v>
      </c>
      <c r="Z70">
        <v>5.8667999999999996</v>
      </c>
      <c r="AA70">
        <v>-1.2999999999999999E-3</v>
      </c>
      <c r="AB70">
        <v>-2.22E-4</v>
      </c>
      <c r="AC70">
        <v>3.9100000000000003E-2</v>
      </c>
      <c r="AD70">
        <v>3.9699999999999999E-2</v>
      </c>
      <c r="AE70">
        <v>1.7308E-2</v>
      </c>
      <c r="AF70">
        <v>0.95399999999999996</v>
      </c>
      <c r="AG70">
        <v>1</v>
      </c>
      <c r="AI70" t="s">
        <v>17</v>
      </c>
      <c r="AJ70">
        <v>5.86</v>
      </c>
      <c r="AK70">
        <v>5.8791000000000002</v>
      </c>
      <c r="AL70">
        <v>1.472E-2</v>
      </c>
      <c r="AM70">
        <v>2.5100000000000001E-3</v>
      </c>
      <c r="AN70">
        <v>3.5400000000000001E-2</v>
      </c>
      <c r="AO70">
        <v>3.5900000000000001E-2</v>
      </c>
      <c r="AP70">
        <v>1.383E-2</v>
      </c>
      <c r="AQ70">
        <v>0.93300000000000005</v>
      </c>
      <c r="AR70">
        <v>1</v>
      </c>
      <c r="AS70" s="14"/>
    </row>
    <row r="71" spans="1:45" x14ac:dyDescent="0.25">
      <c r="A71" s="14"/>
      <c r="B71" t="s">
        <v>18</v>
      </c>
      <c r="C71">
        <v>2.8400000000000002E-2</v>
      </c>
      <c r="D71">
        <v>2.8160999999999999E-2</v>
      </c>
      <c r="E71">
        <v>-2.5516800000000001E-4</v>
      </c>
      <c r="F71">
        <v>2.2645999999999999E-2</v>
      </c>
      <c r="G71">
        <v>2.2076999999999999E-2</v>
      </c>
      <c r="H71">
        <v>-2.5147235E-2</v>
      </c>
      <c r="I71">
        <v>-8.9795489999999999E-3</v>
      </c>
      <c r="J71">
        <v>0.93799999999999994</v>
      </c>
      <c r="K71">
        <v>0.255</v>
      </c>
      <c r="M71" t="s">
        <v>18</v>
      </c>
      <c r="N71">
        <v>3.2099999999999997E-2</v>
      </c>
      <c r="O71">
        <v>3.7423999999999999E-2</v>
      </c>
      <c r="P71">
        <v>5.3151107999999999E-3</v>
      </c>
      <c r="Q71">
        <v>2.1876E-2</v>
      </c>
      <c r="R71">
        <v>2.1207E-2</v>
      </c>
      <c r="S71">
        <v>-3.0597510000000001E-2</v>
      </c>
      <c r="T71">
        <v>0.16553649840000001</v>
      </c>
      <c r="U71">
        <v>0.92400000000000004</v>
      </c>
      <c r="V71">
        <v>0.44</v>
      </c>
      <c r="X71" t="s">
        <v>18</v>
      </c>
      <c r="Y71">
        <v>0.03</v>
      </c>
      <c r="Z71">
        <v>2.9499999999999998E-2</v>
      </c>
      <c r="AA71">
        <v>1.06E-3</v>
      </c>
      <c r="AB71">
        <v>3.7267000000000002E-2</v>
      </c>
      <c r="AC71">
        <v>2.3099999999999999E-2</v>
      </c>
      <c r="AD71">
        <v>2.18E-2</v>
      </c>
      <c r="AE71">
        <v>-5.5557000000000002E-2</v>
      </c>
      <c r="AF71">
        <v>0.94199999999999995</v>
      </c>
      <c r="AG71">
        <v>0.30599999999999999</v>
      </c>
      <c r="AI71" t="s">
        <v>18</v>
      </c>
      <c r="AJ71">
        <v>0.03</v>
      </c>
      <c r="AK71">
        <v>3.85E-2</v>
      </c>
      <c r="AL71">
        <v>6.3899999999999998E-3</v>
      </c>
      <c r="AM71">
        <v>0.19894999999999999</v>
      </c>
      <c r="AN71">
        <v>2.2200000000000001E-2</v>
      </c>
      <c r="AO71">
        <v>2.1000000000000001E-2</v>
      </c>
      <c r="AP71">
        <v>-5.425E-2</v>
      </c>
      <c r="AQ71">
        <v>0.92900000000000005</v>
      </c>
      <c r="AR71">
        <v>0.46300000000000002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127" priority="98" stopIfTrue="1" operator="between">
      <formula>0</formula>
      <formula>1</formula>
    </cfRule>
    <cfRule type="cellIs" dxfId="1126" priority="99" stopIfTrue="1" operator="between">
      <formula>0.8</formula>
      <formula>0.9</formula>
    </cfRule>
    <cfRule type="cellIs" dxfId="1125" priority="100" stopIfTrue="1" operator="between">
      <formula>0</formula>
      <formula>0.8</formula>
    </cfRule>
    <cfRule type="cellIs" dxfId="1124" priority="97" stopIfTrue="1" operator="between">
      <formula>0.9365</formula>
      <formula>0.9635</formula>
    </cfRule>
  </conditionalFormatting>
  <conditionalFormatting sqref="J15:J21">
    <cfRule type="cellIs" dxfId="1123" priority="89" stopIfTrue="1" operator="between">
      <formula>0.9365</formula>
      <formula>0.9635</formula>
    </cfRule>
    <cfRule type="cellIs" dxfId="1122" priority="91" stopIfTrue="1" operator="between">
      <formula>0.8</formula>
      <formula>0.9</formula>
    </cfRule>
    <cfRule type="cellIs" dxfId="1121" priority="92" stopIfTrue="1" operator="between">
      <formula>0</formula>
      <formula>0.8</formula>
    </cfRule>
    <cfRule type="cellIs" dxfId="1120" priority="90" stopIfTrue="1" operator="between">
      <formula>0</formula>
      <formula>1</formula>
    </cfRule>
  </conditionalFormatting>
  <conditionalFormatting sqref="J25:J31">
    <cfRule type="cellIs" dxfId="1119" priority="95" stopIfTrue="1" operator="between">
      <formula>0.8</formula>
      <formula>0.9</formula>
    </cfRule>
    <cfRule type="cellIs" dxfId="1118" priority="93" stopIfTrue="1" operator="between">
      <formula>0.95</formula>
      <formula>1</formula>
    </cfRule>
    <cfRule type="cellIs" dxfId="1117" priority="94" stopIfTrue="1" operator="between">
      <formula>0.9</formula>
      <formula>0.95</formula>
    </cfRule>
    <cfRule type="cellIs" dxfId="1116" priority="96" stopIfTrue="1" operator="between">
      <formula>0</formula>
      <formula>0.8</formula>
    </cfRule>
  </conditionalFormatting>
  <conditionalFormatting sqref="J35:J41">
    <cfRule type="cellIs" dxfId="1115" priority="88" stopIfTrue="1" operator="between">
      <formula>0</formula>
      <formula>0.8</formula>
    </cfRule>
    <cfRule type="cellIs" dxfId="1114" priority="86" stopIfTrue="1" operator="between">
      <formula>0</formula>
      <formula>1</formula>
    </cfRule>
    <cfRule type="cellIs" dxfId="1113" priority="85" stopIfTrue="1" operator="between">
      <formula>0.9365</formula>
      <formula>0.9635</formula>
    </cfRule>
    <cfRule type="cellIs" dxfId="1112" priority="87" stopIfTrue="1" operator="between">
      <formula>0.8</formula>
      <formula>0.9</formula>
    </cfRule>
  </conditionalFormatting>
  <conditionalFormatting sqref="J45:J51">
    <cfRule type="cellIs" dxfId="1111" priority="83" stopIfTrue="1" operator="between">
      <formula>0.8</formula>
      <formula>0.9</formula>
    </cfRule>
    <cfRule type="cellIs" dxfId="1110" priority="84" stopIfTrue="1" operator="between">
      <formula>0</formula>
      <formula>0.8</formula>
    </cfRule>
    <cfRule type="cellIs" dxfId="1109" priority="82" stopIfTrue="1" operator="between">
      <formula>0</formula>
      <formula>1</formula>
    </cfRule>
    <cfRule type="cellIs" dxfId="1108" priority="81" stopIfTrue="1" operator="between">
      <formula>0.9365</formula>
      <formula>0.9635</formula>
    </cfRule>
  </conditionalFormatting>
  <conditionalFormatting sqref="J55:J61">
    <cfRule type="cellIs" dxfId="1107" priority="15" stopIfTrue="1" operator="between">
      <formula>0.8</formula>
      <formula>0.9</formula>
    </cfRule>
    <cfRule type="cellIs" dxfId="1106" priority="13" stopIfTrue="1" operator="between">
      <formula>0.9365</formula>
      <formula>0.9635</formula>
    </cfRule>
    <cfRule type="cellIs" dxfId="1105" priority="14" stopIfTrue="1" operator="between">
      <formula>0</formula>
      <formula>1</formula>
    </cfRule>
    <cfRule type="cellIs" dxfId="1104" priority="16" stopIfTrue="1" operator="between">
      <formula>0</formula>
      <formula>0.8</formula>
    </cfRule>
  </conditionalFormatting>
  <conditionalFormatting sqref="J65:J71">
    <cfRule type="cellIs" dxfId="1103" priority="9" stopIfTrue="1" operator="between">
      <formula>0.9365</formula>
      <formula>0.9635</formula>
    </cfRule>
    <cfRule type="cellIs" dxfId="1102" priority="12" stopIfTrue="1" operator="between">
      <formula>0</formula>
      <formula>0.8</formula>
    </cfRule>
    <cfRule type="cellIs" dxfId="1101" priority="11" stopIfTrue="1" operator="between">
      <formula>0.8</formula>
      <formula>0.9</formula>
    </cfRule>
    <cfRule type="cellIs" dxfId="1100" priority="10" stopIfTrue="1" operator="between">
      <formula>0</formula>
      <formula>1</formula>
    </cfRule>
  </conditionalFormatting>
  <conditionalFormatting sqref="U5:U11">
    <cfRule type="cellIs" dxfId="1099" priority="117" stopIfTrue="1" operator="between">
      <formula>0.9365</formula>
      <formula>0.9635</formula>
    </cfRule>
    <cfRule type="cellIs" dxfId="1098" priority="118" stopIfTrue="1" operator="between">
      <formula>0</formula>
      <formula>1</formula>
    </cfRule>
    <cfRule type="cellIs" dxfId="1097" priority="119" stopIfTrue="1" operator="between">
      <formula>0.8</formula>
      <formula>0.9</formula>
    </cfRule>
    <cfRule type="cellIs" dxfId="1096" priority="120" stopIfTrue="1" operator="between">
      <formula>0</formula>
      <formula>0.8</formula>
    </cfRule>
  </conditionalFormatting>
  <conditionalFormatting sqref="U15:U21">
    <cfRule type="cellIs" dxfId="1095" priority="111" stopIfTrue="1" operator="between">
      <formula>0.8</formula>
      <formula>0.9</formula>
    </cfRule>
    <cfRule type="cellIs" dxfId="1094" priority="110" stopIfTrue="1" operator="between">
      <formula>0</formula>
      <formula>1</formula>
    </cfRule>
    <cfRule type="cellIs" dxfId="1093" priority="109" stopIfTrue="1" operator="between">
      <formula>0.9365</formula>
      <formula>0.9635</formula>
    </cfRule>
    <cfRule type="cellIs" dxfId="1092" priority="112" stopIfTrue="1" operator="between">
      <formula>0</formula>
      <formula>0.8</formula>
    </cfRule>
  </conditionalFormatting>
  <conditionalFormatting sqref="U25:U31">
    <cfRule type="cellIs" dxfId="1091" priority="113" stopIfTrue="1" operator="between">
      <formula>0.95</formula>
      <formula>1</formula>
    </cfRule>
    <cfRule type="cellIs" dxfId="1090" priority="115" stopIfTrue="1" operator="between">
      <formula>0.8</formula>
      <formula>0.9</formula>
    </cfRule>
    <cfRule type="cellIs" dxfId="1089" priority="116" stopIfTrue="1" operator="between">
      <formula>0</formula>
      <formula>0.8</formula>
    </cfRule>
    <cfRule type="cellIs" dxfId="1088" priority="114" stopIfTrue="1" operator="between">
      <formula>0.9</formula>
      <formula>0.95</formula>
    </cfRule>
  </conditionalFormatting>
  <conditionalFormatting sqref="U35:U41">
    <cfRule type="cellIs" dxfId="1087" priority="108" stopIfTrue="1" operator="between">
      <formula>0</formula>
      <formula>0.8</formula>
    </cfRule>
    <cfRule type="cellIs" dxfId="1086" priority="107" stopIfTrue="1" operator="between">
      <formula>0.8</formula>
      <formula>0.9</formula>
    </cfRule>
    <cfRule type="cellIs" dxfId="1085" priority="106" stopIfTrue="1" operator="between">
      <formula>0</formula>
      <formula>1</formula>
    </cfRule>
    <cfRule type="cellIs" dxfId="1084" priority="105" stopIfTrue="1" operator="between">
      <formula>0.9365</formula>
      <formula>0.9635</formula>
    </cfRule>
  </conditionalFormatting>
  <conditionalFormatting sqref="U45:U51">
    <cfRule type="cellIs" dxfId="1083" priority="104" stopIfTrue="1" operator="between">
      <formula>0</formula>
      <formula>0.8</formula>
    </cfRule>
    <cfRule type="cellIs" dxfId="1082" priority="103" stopIfTrue="1" operator="between">
      <formula>0.8</formula>
      <formula>0.9</formula>
    </cfRule>
    <cfRule type="cellIs" dxfId="1081" priority="102" stopIfTrue="1" operator="between">
      <formula>0</formula>
      <formula>1</formula>
    </cfRule>
    <cfRule type="cellIs" dxfId="1080" priority="101" stopIfTrue="1" operator="between">
      <formula>0.9365</formula>
      <formula>0.9635</formula>
    </cfRule>
  </conditionalFormatting>
  <conditionalFormatting sqref="U55:U61">
    <cfRule type="cellIs" dxfId="1079" priority="2" stopIfTrue="1" operator="between">
      <formula>0</formula>
      <formula>1</formula>
    </cfRule>
    <cfRule type="cellIs" dxfId="1078" priority="3" stopIfTrue="1" operator="between">
      <formula>0.8</formula>
      <formula>0.9</formula>
    </cfRule>
    <cfRule type="cellIs" dxfId="1077" priority="4" stopIfTrue="1" operator="between">
      <formula>0</formula>
      <formula>0.8</formula>
    </cfRule>
    <cfRule type="cellIs" dxfId="1076" priority="1" stopIfTrue="1" operator="between">
      <formula>0.9365</formula>
      <formula>0.9635</formula>
    </cfRule>
  </conditionalFormatting>
  <conditionalFormatting sqref="U65:U71">
    <cfRule type="cellIs" dxfId="1075" priority="5" stopIfTrue="1" operator="between">
      <formula>0.9365</formula>
      <formula>0.9635</formula>
    </cfRule>
    <cfRule type="cellIs" dxfId="1074" priority="6" stopIfTrue="1" operator="between">
      <formula>0</formula>
      <formula>1</formula>
    </cfRule>
    <cfRule type="cellIs" dxfId="1073" priority="7" stopIfTrue="1" operator="between">
      <formula>0.8</formula>
      <formula>0.9</formula>
    </cfRule>
    <cfRule type="cellIs" dxfId="1072" priority="8" stopIfTrue="1" operator="between">
      <formula>0</formula>
      <formula>0.8</formula>
    </cfRule>
  </conditionalFormatting>
  <conditionalFormatting sqref="AF5:AF11">
    <cfRule type="cellIs" dxfId="1071" priority="33" stopIfTrue="1" operator="between">
      <formula>0.9365</formula>
      <formula>0.9635</formula>
    </cfRule>
    <cfRule type="cellIs" dxfId="1070" priority="34" stopIfTrue="1" operator="between">
      <formula>0.9095</formula>
      <formula>0.9905</formula>
    </cfRule>
    <cfRule type="cellIs" dxfId="1069" priority="35" stopIfTrue="1" operator="between">
      <formula>0</formula>
      <formula>1</formula>
    </cfRule>
    <cfRule type="cellIs" dxfId="1068" priority="36" stopIfTrue="1" operator="between">
      <formula>0</formula>
      <formula>0.8</formula>
    </cfRule>
  </conditionalFormatting>
  <conditionalFormatting sqref="AF15:AF21">
    <cfRule type="cellIs" dxfId="1067" priority="37" stopIfTrue="1" operator="between">
      <formula>0.9365</formula>
      <formula>0.9635</formula>
    </cfRule>
    <cfRule type="cellIs" dxfId="1066" priority="40" stopIfTrue="1" operator="between">
      <formula>0</formula>
      <formula>0.8</formula>
    </cfRule>
    <cfRule type="cellIs" dxfId="1065" priority="38" stopIfTrue="1" operator="between">
      <formula>0.9095</formula>
      <formula>0.9905</formula>
    </cfRule>
    <cfRule type="cellIs" dxfId="1064" priority="39" stopIfTrue="1" operator="between">
      <formula>0</formula>
      <formula>1</formula>
    </cfRule>
  </conditionalFormatting>
  <conditionalFormatting sqref="AF25:AF31">
    <cfRule type="cellIs" dxfId="1063" priority="155" stopIfTrue="1" operator="between">
      <formula>0.8</formula>
      <formula>0.9</formula>
    </cfRule>
    <cfRule type="cellIs" dxfId="1062" priority="154" stopIfTrue="1" operator="between">
      <formula>0.9</formula>
      <formula>0.95</formula>
    </cfRule>
    <cfRule type="cellIs" dxfId="1061" priority="153" stopIfTrue="1" operator="between">
      <formula>0.95</formula>
      <formula>1</formula>
    </cfRule>
    <cfRule type="cellIs" dxfId="1060" priority="156" stopIfTrue="1" operator="between">
      <formula>0</formula>
      <formula>0.8</formula>
    </cfRule>
  </conditionalFormatting>
  <conditionalFormatting sqref="AF35:AF41">
    <cfRule type="cellIs" dxfId="1059" priority="41" stopIfTrue="1" operator="between">
      <formula>0.9365</formula>
      <formula>0.9635</formula>
    </cfRule>
    <cfRule type="cellIs" dxfId="1058" priority="43" stopIfTrue="1" operator="between">
      <formula>0</formula>
      <formula>1</formula>
    </cfRule>
    <cfRule type="cellIs" dxfId="1057" priority="44" stopIfTrue="1" operator="between">
      <formula>0</formula>
      <formula>0.8</formula>
    </cfRule>
    <cfRule type="cellIs" dxfId="1056" priority="42" stopIfTrue="1" operator="between">
      <formula>0.9095</formula>
      <formula>0.9905</formula>
    </cfRule>
  </conditionalFormatting>
  <conditionalFormatting sqref="AF45:AF51">
    <cfRule type="cellIs" dxfId="1055" priority="47" stopIfTrue="1" operator="between">
      <formula>0</formula>
      <formula>1</formula>
    </cfRule>
    <cfRule type="cellIs" dxfId="1054" priority="45" stopIfTrue="1" operator="between">
      <formula>0.9365</formula>
      <formula>0.9635</formula>
    </cfRule>
    <cfRule type="cellIs" dxfId="1053" priority="46" stopIfTrue="1" operator="between">
      <formula>0.9095</formula>
      <formula>0.9905</formula>
    </cfRule>
    <cfRule type="cellIs" dxfId="1052" priority="48" stopIfTrue="1" operator="between">
      <formula>0</formula>
      <formula>0.8</formula>
    </cfRule>
  </conditionalFormatting>
  <conditionalFormatting sqref="AF55:AF61">
    <cfRule type="cellIs" dxfId="1051" priority="61" stopIfTrue="1" operator="between">
      <formula>0.9365</formula>
      <formula>0.9635</formula>
    </cfRule>
    <cfRule type="cellIs" dxfId="1050" priority="62" stopIfTrue="1" operator="between">
      <formula>0.9095</formula>
      <formula>0.9905</formula>
    </cfRule>
    <cfRule type="cellIs" dxfId="1049" priority="63" stopIfTrue="1" operator="between">
      <formula>0</formula>
      <formula>1</formula>
    </cfRule>
    <cfRule type="cellIs" dxfId="1048" priority="64" stopIfTrue="1" operator="between">
      <formula>0</formula>
      <formula>0.8</formula>
    </cfRule>
  </conditionalFormatting>
  <conditionalFormatting sqref="AF65:AF71">
    <cfRule type="cellIs" dxfId="1047" priority="58" stopIfTrue="1" operator="between">
      <formula>0.9095</formula>
      <formula>0.9905</formula>
    </cfRule>
    <cfRule type="cellIs" dxfId="1046" priority="59" stopIfTrue="1" operator="between">
      <formula>0</formula>
      <formula>1</formula>
    </cfRule>
    <cfRule type="cellIs" dxfId="1045" priority="57" stopIfTrue="1" operator="between">
      <formula>0.9365</formula>
      <formula>0.9635</formula>
    </cfRule>
    <cfRule type="cellIs" dxfId="1044" priority="60" stopIfTrue="1" operator="between">
      <formula>0</formula>
      <formula>0.8</formula>
    </cfRule>
  </conditionalFormatting>
  <conditionalFormatting sqref="AQ5:AQ11">
    <cfRule type="cellIs" dxfId="1043" priority="32" stopIfTrue="1" operator="between">
      <formula>0</formula>
      <formula>0.8</formula>
    </cfRule>
    <cfRule type="cellIs" dxfId="1042" priority="31" stopIfTrue="1" operator="between">
      <formula>0</formula>
      <formula>1</formula>
    </cfRule>
    <cfRule type="cellIs" dxfId="1041" priority="30" stopIfTrue="1" operator="between">
      <formula>0.9095</formula>
      <formula>0.9905</formula>
    </cfRule>
    <cfRule type="cellIs" dxfId="1040" priority="29" stopIfTrue="1" operator="between">
      <formula>0.9365</formula>
      <formula>0.9635</formula>
    </cfRule>
  </conditionalFormatting>
  <conditionalFormatting sqref="AQ15:AQ21">
    <cfRule type="cellIs" dxfId="1039" priority="26" stopIfTrue="1" operator="between">
      <formula>0.9095</formula>
      <formula>0.9905</formula>
    </cfRule>
    <cfRule type="cellIs" dxfId="1038" priority="28" stopIfTrue="1" operator="between">
      <formula>0</formula>
      <formula>0.8</formula>
    </cfRule>
    <cfRule type="cellIs" dxfId="1037" priority="27" stopIfTrue="1" operator="between">
      <formula>0</formula>
      <formula>1</formula>
    </cfRule>
    <cfRule type="cellIs" dxfId="1036" priority="25" stopIfTrue="1" operator="between">
      <formula>0.9365</formula>
      <formula>0.9635</formula>
    </cfRule>
  </conditionalFormatting>
  <conditionalFormatting sqref="AQ25:AQ31">
    <cfRule type="cellIs" dxfId="1035" priority="135" stopIfTrue="1" operator="between">
      <formula>0.8</formula>
      <formula>0.9</formula>
    </cfRule>
    <cfRule type="cellIs" dxfId="1034" priority="136" stopIfTrue="1" operator="between">
      <formula>0</formula>
      <formula>0.8</formula>
    </cfRule>
    <cfRule type="cellIs" dxfId="1033" priority="133" stopIfTrue="1" operator="between">
      <formula>0.95</formula>
      <formula>1</formula>
    </cfRule>
    <cfRule type="cellIs" dxfId="1032" priority="134" stopIfTrue="1" operator="between">
      <formula>0.9</formula>
      <formula>0.95</formula>
    </cfRule>
  </conditionalFormatting>
  <conditionalFormatting sqref="AQ35:AQ41">
    <cfRule type="cellIs" dxfId="1031" priority="23" stopIfTrue="1" operator="between">
      <formula>0</formula>
      <formula>1</formula>
    </cfRule>
    <cfRule type="cellIs" dxfId="1030" priority="22" stopIfTrue="1" operator="between">
      <formula>0.9095</formula>
      <formula>0.9905</formula>
    </cfRule>
    <cfRule type="cellIs" dxfId="1029" priority="21" stopIfTrue="1" operator="between">
      <formula>0.9365</formula>
      <formula>0.9635</formula>
    </cfRule>
    <cfRule type="cellIs" dxfId="1028" priority="24" stopIfTrue="1" operator="between">
      <formula>0</formula>
      <formula>0.8</formula>
    </cfRule>
  </conditionalFormatting>
  <conditionalFormatting sqref="AQ45:AQ51">
    <cfRule type="cellIs" dxfId="1027" priority="20" stopIfTrue="1" operator="between">
      <formula>0</formula>
      <formula>0.8</formula>
    </cfRule>
    <cfRule type="cellIs" dxfId="1026" priority="19" stopIfTrue="1" operator="between">
      <formula>0</formula>
      <formula>1</formula>
    </cfRule>
    <cfRule type="cellIs" dxfId="1025" priority="18" stopIfTrue="1" operator="between">
      <formula>0.9095</formula>
      <formula>0.9905</formula>
    </cfRule>
    <cfRule type="cellIs" dxfId="1024" priority="17" stopIfTrue="1" operator="between">
      <formula>0.9365</formula>
      <formula>0.9635</formula>
    </cfRule>
  </conditionalFormatting>
  <conditionalFormatting sqref="AQ55:AQ61">
    <cfRule type="cellIs" dxfId="1023" priority="53" stopIfTrue="1" operator="between">
      <formula>0.9365</formula>
      <formula>0.9635</formula>
    </cfRule>
    <cfRule type="cellIs" dxfId="1022" priority="54" stopIfTrue="1" operator="between">
      <formula>0.9095</formula>
      <formula>0.9905</formula>
    </cfRule>
    <cfRule type="cellIs" dxfId="1021" priority="55" stopIfTrue="1" operator="between">
      <formula>0</formula>
      <formula>1</formula>
    </cfRule>
    <cfRule type="cellIs" dxfId="1020" priority="56" stopIfTrue="1" operator="between">
      <formula>0</formula>
      <formula>0.8</formula>
    </cfRule>
  </conditionalFormatting>
  <conditionalFormatting sqref="AQ65:AQ71">
    <cfRule type="cellIs" dxfId="1019" priority="49" stopIfTrue="1" operator="between">
      <formula>0.9365</formula>
      <formula>0.9635</formula>
    </cfRule>
    <cfRule type="cellIs" dxfId="1018" priority="50" stopIfTrue="1" operator="between">
      <formula>0.9095</formula>
      <formula>0.9905</formula>
    </cfRule>
    <cfRule type="cellIs" dxfId="1017" priority="51" stopIfTrue="1" operator="between">
      <formula>0</formula>
      <formula>1</formula>
    </cfRule>
    <cfRule type="cellIs" dxfId="1016" priority="5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7239-A462-4926-B049-287251778C94}">
  <dimension ref="A1:AU71"/>
  <sheetViews>
    <sheetView topLeftCell="A43" zoomScaleNormal="100" workbookViewId="0">
      <selection activeCell="N47" sqref="N47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8" width="9.140625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9.140625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435</v>
      </c>
      <c r="J3" s="12" t="str">
        <f>INDEX('Method Codes'!$B:$B, MATCH(B3, 'Method Codes'!$I:$I,0))</f>
        <v>IND</v>
      </c>
      <c r="K3" s="12" t="str">
        <f>INDEX('Method Codes'!$H:$H, MATCH(B3, 'Method Codes'!$I:$I,0))</f>
        <v>1C</v>
      </c>
      <c r="M3" s="1" t="s">
        <v>501</v>
      </c>
      <c r="U3" s="12" t="str">
        <f>INDEX('Method Codes'!$B:$B, MATCH(M3, 'Method Codes'!$I:$I,0))</f>
        <v>EXCH</v>
      </c>
      <c r="V3" s="12" t="str">
        <f>INDEX('Method Codes'!$H:$H, MATCH(M3, 'Method Codes'!$I:$I,0))</f>
        <v>1C</v>
      </c>
      <c r="X3" s="1" t="s">
        <v>306</v>
      </c>
      <c r="AI3" s="1" t="s">
        <v>307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107.111051</v>
      </c>
      <c r="E5">
        <v>3.3642199900000003E-2</v>
      </c>
      <c r="F5">
        <v>1.371326</v>
      </c>
      <c r="G5">
        <v>1.358079</v>
      </c>
      <c r="H5">
        <v>-9.660185E-3</v>
      </c>
      <c r="I5">
        <v>3.1418579999999998E-4</v>
      </c>
      <c r="J5">
        <v>0.94599999999999995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107.238719</v>
      </c>
      <c r="P5">
        <v>0.42626270030000002</v>
      </c>
      <c r="Q5">
        <v>1.398466</v>
      </c>
      <c r="R5">
        <v>1.393958</v>
      </c>
      <c r="S5">
        <v>-3.222885E-3</v>
      </c>
      <c r="T5">
        <v>3.9907583000000002E-3</v>
      </c>
      <c r="U5">
        <v>0.93899999999999995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-4.7782720000000003</v>
      </c>
      <c r="E6">
        <v>-9.630731E-3</v>
      </c>
      <c r="F6">
        <v>0.51422199999999996</v>
      </c>
      <c r="G6">
        <v>0.52087000000000006</v>
      </c>
      <c r="H6">
        <v>1.29292396E-2</v>
      </c>
      <c r="I6">
        <v>2.0195962999999999E-3</v>
      </c>
      <c r="J6">
        <v>0.95299999999999996</v>
      </c>
      <c r="K6">
        <v>0</v>
      </c>
      <c r="M6" t="s">
        <v>13</v>
      </c>
      <c r="N6">
        <v>-4.7992999999999997</v>
      </c>
      <c r="O6">
        <v>-4.7543870000000004</v>
      </c>
      <c r="P6">
        <v>4.4894695200000001E-2</v>
      </c>
      <c r="Q6">
        <v>0.56942000000000004</v>
      </c>
      <c r="R6">
        <v>0.56364499999999995</v>
      </c>
      <c r="S6">
        <v>-1.0142178999999999E-2</v>
      </c>
      <c r="T6">
        <v>-9.3544609999999997E-3</v>
      </c>
      <c r="U6">
        <v>0.94699999999999995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8.6950559999999992</v>
      </c>
      <c r="E7">
        <v>-1.6428549999999999E-3</v>
      </c>
      <c r="F7">
        <v>0.31199700000000002</v>
      </c>
      <c r="G7">
        <v>0.30591299999999999</v>
      </c>
      <c r="H7">
        <v>-1.9501244000000001E-2</v>
      </c>
      <c r="I7">
        <v>-1.88906E-4</v>
      </c>
      <c r="J7">
        <v>0.94499999999999995</v>
      </c>
      <c r="K7">
        <v>0</v>
      </c>
      <c r="M7" t="s">
        <v>14</v>
      </c>
      <c r="N7">
        <v>8.7021999999999995</v>
      </c>
      <c r="O7">
        <v>8.6990970000000001</v>
      </c>
      <c r="P7">
        <v>-3.1100339999999998E-3</v>
      </c>
      <c r="Q7">
        <v>0.35533900000000002</v>
      </c>
      <c r="R7">
        <v>0.34327299999999999</v>
      </c>
      <c r="S7">
        <v>-3.3957925999999999E-2</v>
      </c>
      <c r="T7">
        <v>-3.5738499999999999E-4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-1.6152</v>
      </c>
      <c r="E8">
        <v>-4.9050999999999999E-3</v>
      </c>
      <c r="F8">
        <v>0.32855099999999998</v>
      </c>
      <c r="G8">
        <v>0.32967099999999999</v>
      </c>
      <c r="H8">
        <v>3.4092504000000001E-3</v>
      </c>
      <c r="I8">
        <v>3.0460889000000001E-3</v>
      </c>
      <c r="J8">
        <v>0.95</v>
      </c>
      <c r="K8">
        <v>0</v>
      </c>
      <c r="M8" t="s">
        <v>15</v>
      </c>
      <c r="N8">
        <v>-1.5806</v>
      </c>
      <c r="O8">
        <v>-1.7393860000000001</v>
      </c>
      <c r="P8">
        <v>-0.15876015800000001</v>
      </c>
      <c r="Q8">
        <v>0.34718500000000002</v>
      </c>
      <c r="R8">
        <v>0.34879900000000003</v>
      </c>
      <c r="S8">
        <v>4.6480317999999998E-3</v>
      </c>
      <c r="T8">
        <v>0.10044132259999999</v>
      </c>
      <c r="U8">
        <v>0.93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-7.9295109999999998</v>
      </c>
      <c r="E9">
        <v>-1.4335831E-2</v>
      </c>
      <c r="F9">
        <v>0.36976300000000001</v>
      </c>
      <c r="G9">
        <v>0.37966299999999997</v>
      </c>
      <c r="H9">
        <v>2.6775060900000001E-2</v>
      </c>
      <c r="I9">
        <v>1.8111830000000001E-3</v>
      </c>
      <c r="J9">
        <v>0.95499999999999996</v>
      </c>
      <c r="K9">
        <v>0</v>
      </c>
      <c r="M9" t="s">
        <v>16</v>
      </c>
      <c r="N9">
        <v>-7.7763999999999998</v>
      </c>
      <c r="O9">
        <v>-7.8230230000000001</v>
      </c>
      <c r="P9">
        <v>-4.6593919999999997E-2</v>
      </c>
      <c r="Q9">
        <v>0.41845900000000003</v>
      </c>
      <c r="R9">
        <v>0.42530499999999999</v>
      </c>
      <c r="S9">
        <v>1.63609641E-2</v>
      </c>
      <c r="T9">
        <v>5.9916858999999999E-3</v>
      </c>
      <c r="U9">
        <v>0.95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5.8695959999999996</v>
      </c>
      <c r="E10">
        <v>1.4571045E-3</v>
      </c>
      <c r="F10">
        <v>2.2498000000000001E-2</v>
      </c>
      <c r="G10">
        <v>2.3293000000000001E-2</v>
      </c>
      <c r="H10">
        <v>3.53445618E-2</v>
      </c>
      <c r="I10">
        <v>2.4830780000000002E-4</v>
      </c>
      <c r="J10">
        <v>0.96299999999999997</v>
      </c>
      <c r="K10">
        <v>0</v>
      </c>
      <c r="M10" t="s">
        <v>17</v>
      </c>
      <c r="N10">
        <v>5.8643999999999998</v>
      </c>
      <c r="O10">
        <v>5.8560559999999997</v>
      </c>
      <c r="P10">
        <v>-8.3547420000000001E-3</v>
      </c>
      <c r="Q10">
        <v>2.0722000000000001E-2</v>
      </c>
      <c r="R10">
        <v>2.1829999999999999E-2</v>
      </c>
      <c r="S10">
        <v>5.3460871100000001E-2</v>
      </c>
      <c r="T10">
        <v>-1.424652E-3</v>
      </c>
      <c r="U10">
        <v>0.94799999999999995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2.7983000000000001E-2</v>
      </c>
      <c r="E11">
        <v>-4.33051E-4</v>
      </c>
      <c r="F11">
        <v>1.6251000000000002E-2</v>
      </c>
      <c r="G11">
        <v>1.7087000000000001E-2</v>
      </c>
      <c r="H11">
        <v>5.1465749999999998E-2</v>
      </c>
      <c r="I11">
        <v>-1.5239394999999999E-2</v>
      </c>
      <c r="J11">
        <v>0.95799999999999996</v>
      </c>
      <c r="K11">
        <v>0</v>
      </c>
      <c r="M11" t="s">
        <v>18</v>
      </c>
      <c r="N11">
        <v>3.2099999999999997E-2</v>
      </c>
      <c r="O11">
        <v>4.1244999999999997E-2</v>
      </c>
      <c r="P11">
        <v>9.1364086999999993E-3</v>
      </c>
      <c r="Q11">
        <v>1.3598000000000001E-2</v>
      </c>
      <c r="R11">
        <v>1.5037999999999999E-2</v>
      </c>
      <c r="S11">
        <v>0.1058475586</v>
      </c>
      <c r="T11">
        <v>0.28454893190000002</v>
      </c>
      <c r="U11">
        <v>0.93400000000000005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447</v>
      </c>
      <c r="J13" s="12" t="str">
        <f>INDEX('Method Codes'!$B:$B, MATCH(B13, 'Method Codes'!$I:$I,0))</f>
        <v>IND</v>
      </c>
      <c r="K13" s="12" t="str">
        <f>INDEX('Method Codes'!H:H, MATCH(B13, 'Method Codes'!I:I,0))</f>
        <v>2E</v>
      </c>
      <c r="M13" s="1" t="s">
        <v>510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2E</v>
      </c>
      <c r="X13" s="1" t="s">
        <v>308</v>
      </c>
      <c r="AI13" s="1" t="s">
        <v>309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25">
      <c r="A17" s="14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0.32300000000000001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310</v>
      </c>
      <c r="M23" s="1" t="s">
        <v>311</v>
      </c>
      <c r="X23" s="1" t="s">
        <v>312</v>
      </c>
      <c r="AI23" s="1" t="s">
        <v>313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457</v>
      </c>
      <c r="J33" s="12" t="str">
        <f>INDEX('Method Codes'!$B:$B, MATCH(B33, 'Method Codes'!$I:$I,0))</f>
        <v>IND</v>
      </c>
      <c r="K33" s="12" t="str">
        <f>INDEX('Method Codes'!H:H, MATCH(B33, 'Method Codes'!I:I,0))</f>
        <v>3C</v>
      </c>
      <c r="M33" s="1" t="s">
        <v>519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3C</v>
      </c>
      <c r="X33" s="1" t="s">
        <v>314</v>
      </c>
      <c r="AI33" s="1" t="s">
        <v>315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106.85706399999999</v>
      </c>
      <c r="E35">
        <v>-0.22034485000000001</v>
      </c>
      <c r="F35">
        <v>2.2039010000000001</v>
      </c>
      <c r="G35">
        <v>2.319591</v>
      </c>
      <c r="H35">
        <v>5.2493527900000003E-2</v>
      </c>
      <c r="I35">
        <v>-2.0578089999999999E-3</v>
      </c>
      <c r="J35">
        <v>0.95699999999999996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106.52435800000001</v>
      </c>
      <c r="P35">
        <v>-0.288098882</v>
      </c>
      <c r="Q35">
        <v>2.4330500000000002</v>
      </c>
      <c r="R35">
        <v>2.5845470000000001</v>
      </c>
      <c r="S35">
        <v>6.22663455E-2</v>
      </c>
      <c r="T35">
        <v>-2.6972400000000001E-3</v>
      </c>
      <c r="U35">
        <v>0.96599999999999997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25">
      <c r="A36" s="14"/>
      <c r="B36" t="s">
        <v>13</v>
      </c>
      <c r="C36">
        <v>-4.7686000000000002</v>
      </c>
      <c r="D36">
        <v>-4.8473030000000001</v>
      </c>
      <c r="E36">
        <v>-7.8661802000000003E-2</v>
      </c>
      <c r="F36">
        <v>0.878085</v>
      </c>
      <c r="G36">
        <v>0.89137699999999997</v>
      </c>
      <c r="H36">
        <v>1.51371087E-2</v>
      </c>
      <c r="I36">
        <v>1.6495641200000001E-2</v>
      </c>
      <c r="J36">
        <v>0.95</v>
      </c>
      <c r="K36">
        <v>0</v>
      </c>
      <c r="M36" t="s">
        <v>13</v>
      </c>
      <c r="N36">
        <v>-4.7992999999999997</v>
      </c>
      <c r="O36">
        <v>-4.9949709999999996</v>
      </c>
      <c r="P36">
        <v>-0.19568945400000001</v>
      </c>
      <c r="Q36">
        <v>0.98218700000000003</v>
      </c>
      <c r="R36">
        <v>1.0051760000000001</v>
      </c>
      <c r="S36">
        <v>2.3405955999999999E-2</v>
      </c>
      <c r="T36">
        <v>4.0774736499999999E-2</v>
      </c>
      <c r="U36">
        <v>0.94499999999999995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8.6966999999999999</v>
      </c>
      <c r="D37">
        <v>8.7105530000000009</v>
      </c>
      <c r="E37">
        <v>1.38545952E-2</v>
      </c>
      <c r="F37">
        <v>0.517065</v>
      </c>
      <c r="G37">
        <v>0.52274900000000002</v>
      </c>
      <c r="H37">
        <v>1.0991802700000001E-2</v>
      </c>
      <c r="I37">
        <v>1.5930867000000001E-3</v>
      </c>
      <c r="J37">
        <v>0.95399999999999996</v>
      </c>
      <c r="K37">
        <v>0</v>
      </c>
      <c r="M37" t="s">
        <v>14</v>
      </c>
      <c r="N37">
        <v>8.7021999999999995</v>
      </c>
      <c r="O37">
        <v>8.7239810000000002</v>
      </c>
      <c r="P37">
        <v>2.17739632E-2</v>
      </c>
      <c r="Q37">
        <v>0.57582999999999995</v>
      </c>
      <c r="R37">
        <v>0.59188300000000005</v>
      </c>
      <c r="S37">
        <v>2.7877362700000002E-2</v>
      </c>
      <c r="T37">
        <v>2.5021195999999999E-3</v>
      </c>
      <c r="U37">
        <v>0.96199999999999997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25">
      <c r="A38" s="14"/>
      <c r="B38" t="s">
        <v>15</v>
      </c>
      <c r="C38">
        <v>-1.6103000000000001</v>
      </c>
      <c r="D38">
        <v>-1.6308609999999999</v>
      </c>
      <c r="E38">
        <v>-2.0566682999999999E-2</v>
      </c>
      <c r="F38">
        <v>0.59677100000000005</v>
      </c>
      <c r="G38">
        <v>0.61003799999999997</v>
      </c>
      <c r="H38">
        <v>2.2231150500000001E-2</v>
      </c>
      <c r="I38">
        <v>1.2772000400000001E-2</v>
      </c>
      <c r="J38">
        <v>0.95399999999999996</v>
      </c>
      <c r="K38">
        <v>0</v>
      </c>
      <c r="M38" t="s">
        <v>15</v>
      </c>
      <c r="N38">
        <v>-1.5806</v>
      </c>
      <c r="O38">
        <v>-1.7076039999999999</v>
      </c>
      <c r="P38">
        <v>-0.12697834599999999</v>
      </c>
      <c r="Q38">
        <v>0.68135199999999996</v>
      </c>
      <c r="R38">
        <v>0.694608</v>
      </c>
      <c r="S38">
        <v>1.9456001099999998E-2</v>
      </c>
      <c r="T38">
        <v>8.0334217200000002E-2</v>
      </c>
      <c r="U38">
        <v>0.95599999999999996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25">
      <c r="A39" s="14"/>
      <c r="B39" t="s">
        <v>16</v>
      </c>
      <c r="C39">
        <v>-7.9151999999999996</v>
      </c>
      <c r="D39">
        <v>-7.9424720000000004</v>
      </c>
      <c r="E39">
        <v>-2.7296674999999999E-2</v>
      </c>
      <c r="F39">
        <v>0.63739299999999999</v>
      </c>
      <c r="G39">
        <v>0.65396900000000002</v>
      </c>
      <c r="H39">
        <v>2.60053835E-2</v>
      </c>
      <c r="I39">
        <v>3.4486504999999999E-3</v>
      </c>
      <c r="J39">
        <v>0.95499999999999996</v>
      </c>
      <c r="K39">
        <v>0</v>
      </c>
      <c r="M39" t="s">
        <v>16</v>
      </c>
      <c r="N39">
        <v>-7.7763999999999998</v>
      </c>
      <c r="O39">
        <v>-7.8238729999999999</v>
      </c>
      <c r="P39">
        <v>-4.7443971000000001E-2</v>
      </c>
      <c r="Q39">
        <v>0.74884899999999999</v>
      </c>
      <c r="R39">
        <v>0.74396600000000002</v>
      </c>
      <c r="S39">
        <v>-6.5207140000000004E-3</v>
      </c>
      <c r="T39">
        <v>6.1009972000000004E-3</v>
      </c>
      <c r="U39">
        <v>0.95099999999999996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25">
      <c r="A40" s="14"/>
      <c r="B40" t="s">
        <v>17</v>
      </c>
      <c r="C40">
        <v>5.8681000000000001</v>
      </c>
      <c r="D40">
        <v>5.8579929999999996</v>
      </c>
      <c r="E40">
        <v>-1.0145903E-2</v>
      </c>
      <c r="F40">
        <v>4.0548000000000001E-2</v>
      </c>
      <c r="G40">
        <v>4.4018000000000002E-2</v>
      </c>
      <c r="H40">
        <v>8.5591324900000001E-2</v>
      </c>
      <c r="I40">
        <v>-1.7289810000000001E-3</v>
      </c>
      <c r="J40">
        <v>0.96599999999999997</v>
      </c>
      <c r="K40">
        <v>0</v>
      </c>
      <c r="M40" t="s">
        <v>17</v>
      </c>
      <c r="N40">
        <v>5.8643999999999998</v>
      </c>
      <c r="O40">
        <v>5.8416199999999998</v>
      </c>
      <c r="P40">
        <v>-2.2790521000000001E-2</v>
      </c>
      <c r="Q40">
        <v>4.1298000000000001E-2</v>
      </c>
      <c r="R40">
        <v>4.5127E-2</v>
      </c>
      <c r="S40">
        <v>9.2735751300000002E-2</v>
      </c>
      <c r="T40">
        <v>-3.8862419999999998E-3</v>
      </c>
      <c r="U40">
        <v>0.95199999999999996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25">
      <c r="A41" s="14"/>
      <c r="B41" t="s">
        <v>18</v>
      </c>
      <c r="C41">
        <v>2.8400000000000002E-2</v>
      </c>
      <c r="D41">
        <v>3.9914999999999999E-2</v>
      </c>
      <c r="E41">
        <v>1.1498136500000001E-2</v>
      </c>
      <c r="F41">
        <v>3.1357000000000003E-2</v>
      </c>
      <c r="G41">
        <v>3.3947999999999999E-2</v>
      </c>
      <c r="H41">
        <v>8.2627243899999994E-2</v>
      </c>
      <c r="I41">
        <v>0.40462852500000002</v>
      </c>
      <c r="J41">
        <v>0.95899999999999996</v>
      </c>
      <c r="K41">
        <v>0</v>
      </c>
      <c r="M41" t="s">
        <v>18</v>
      </c>
      <c r="N41">
        <v>3.2099999999999997E-2</v>
      </c>
      <c r="O41">
        <v>5.6122999999999999E-2</v>
      </c>
      <c r="P41">
        <v>2.4015023399999998E-2</v>
      </c>
      <c r="Q41">
        <v>3.2455999999999999E-2</v>
      </c>
      <c r="R41">
        <v>3.508E-2</v>
      </c>
      <c r="S41">
        <v>8.0852763999999994E-2</v>
      </c>
      <c r="T41">
        <v>0.74793602790000002</v>
      </c>
      <c r="U41">
        <v>0.93500000000000005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467</v>
      </c>
      <c r="J43" s="12" t="str">
        <f>INDEX('Method Codes'!$B:$B, MATCH(B43, 'Method Codes'!$I:$I,0))</f>
        <v>IND</v>
      </c>
      <c r="K43" s="12" t="str">
        <f>INDEX('Method Codes'!H:H, MATCH(B43, 'Method Codes'!I:I,0))</f>
        <v>4E</v>
      </c>
      <c r="M43" s="1" t="s">
        <v>528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4E</v>
      </c>
      <c r="X43" s="1" t="s">
        <v>316</v>
      </c>
      <c r="AI43" s="1" t="s">
        <v>317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107.13678</v>
      </c>
      <c r="E45">
        <v>5.9371130899999999E-2</v>
      </c>
      <c r="F45">
        <v>1.97749</v>
      </c>
      <c r="G45">
        <v>2.0179770000000001</v>
      </c>
      <c r="H45">
        <v>2.0473953499999999E-2</v>
      </c>
      <c r="I45">
        <v>5.5446930000000003E-4</v>
      </c>
      <c r="J45">
        <v>0.95299999999999996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106.674353</v>
      </c>
      <c r="P45">
        <v>-0.13810393900000001</v>
      </c>
      <c r="Q45">
        <v>2.1812710000000002</v>
      </c>
      <c r="R45">
        <v>2.2432669999999999</v>
      </c>
      <c r="S45">
        <v>2.8422183199999999E-2</v>
      </c>
      <c r="T45">
        <v>-1.292957E-3</v>
      </c>
      <c r="U45">
        <v>0.95799999999999996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25">
      <c r="A46" s="14"/>
      <c r="B46" t="s">
        <v>13</v>
      </c>
      <c r="C46">
        <v>-4.7686000000000002</v>
      </c>
      <c r="D46">
        <v>-4.8290519999999999</v>
      </c>
      <c r="E46">
        <v>-6.0409862000000002E-2</v>
      </c>
      <c r="F46">
        <v>0.77804499999999999</v>
      </c>
      <c r="G46">
        <v>0.77746000000000004</v>
      </c>
      <c r="H46">
        <v>-7.5114300000000001E-4</v>
      </c>
      <c r="I46">
        <v>1.2668148799999999E-2</v>
      </c>
      <c r="J46">
        <v>0.95</v>
      </c>
      <c r="K46">
        <v>1</v>
      </c>
      <c r="M46" t="s">
        <v>13</v>
      </c>
      <c r="N46">
        <v>-4.7992999999999997</v>
      </c>
      <c r="O46">
        <v>-4.9937659999999999</v>
      </c>
      <c r="P46">
        <v>-0.19448420999999999</v>
      </c>
      <c r="Q46">
        <v>0.86545700000000003</v>
      </c>
      <c r="R46">
        <v>0.87064299999999994</v>
      </c>
      <c r="S46">
        <v>5.9924234999999999E-3</v>
      </c>
      <c r="T46">
        <v>4.0523606500000003E-2</v>
      </c>
      <c r="U46">
        <v>0.95199999999999996</v>
      </c>
      <c r="V46">
        <v>1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25">
      <c r="A47" s="14"/>
      <c r="B47" t="s">
        <v>14</v>
      </c>
      <c r="C47">
        <v>8.6966999999999999</v>
      </c>
      <c r="D47">
        <v>8.6639630000000007</v>
      </c>
      <c r="E47">
        <v>-3.2735312000000003E-2</v>
      </c>
      <c r="F47">
        <v>0.46463500000000002</v>
      </c>
      <c r="G47">
        <v>0.46825</v>
      </c>
      <c r="H47">
        <v>7.7799193999999999E-3</v>
      </c>
      <c r="I47">
        <v>-3.764108E-3</v>
      </c>
      <c r="J47">
        <v>0.95199999999999996</v>
      </c>
      <c r="K47">
        <v>1</v>
      </c>
      <c r="M47" t="s">
        <v>14</v>
      </c>
      <c r="N47">
        <v>8.7021999999999995</v>
      </c>
      <c r="O47">
        <v>8.6630149999999997</v>
      </c>
      <c r="P47">
        <v>-3.9192392999999999E-2</v>
      </c>
      <c r="Q47">
        <v>0.51707599999999998</v>
      </c>
      <c r="R47">
        <v>0.52870799999999996</v>
      </c>
      <c r="S47">
        <v>2.2496334900000001E-2</v>
      </c>
      <c r="T47">
        <v>-4.5037300000000001E-3</v>
      </c>
      <c r="U47">
        <v>0.95499999999999996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25">
      <c r="A48" s="14"/>
      <c r="B48" t="s">
        <v>15</v>
      </c>
      <c r="C48">
        <v>-1.6103000000000001</v>
      </c>
      <c r="D48">
        <v>-1.6029180000000001</v>
      </c>
      <c r="E48">
        <v>7.3763835E-3</v>
      </c>
      <c r="F48">
        <v>0.48794999999999999</v>
      </c>
      <c r="G48">
        <v>0.49936399999999997</v>
      </c>
      <c r="H48">
        <v>2.3392105699999999E-2</v>
      </c>
      <c r="I48">
        <v>-4.5807670000000003E-3</v>
      </c>
      <c r="J48">
        <v>0.95699999999999996</v>
      </c>
      <c r="K48">
        <v>0.89800000000000002</v>
      </c>
      <c r="M48" t="s">
        <v>15</v>
      </c>
      <c r="N48">
        <v>-1.5806</v>
      </c>
      <c r="O48">
        <v>-1.6794439999999999</v>
      </c>
      <c r="P48">
        <v>-9.8818296999999999E-2</v>
      </c>
      <c r="Q48">
        <v>0.55029499999999998</v>
      </c>
      <c r="R48">
        <v>0.56897699999999996</v>
      </c>
      <c r="S48">
        <v>3.3947859400000002E-2</v>
      </c>
      <c r="T48">
        <v>6.2518458999999998E-2</v>
      </c>
      <c r="U48">
        <v>0.96599999999999997</v>
      </c>
      <c r="V48">
        <v>0.84299999999999997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25">
      <c r="A49" s="14"/>
      <c r="B49" t="s">
        <v>16</v>
      </c>
      <c r="C49">
        <v>-7.9151999999999996</v>
      </c>
      <c r="D49">
        <v>-7.8759259999999998</v>
      </c>
      <c r="E49">
        <v>3.9249810400000001E-2</v>
      </c>
      <c r="F49">
        <v>0.57585699999999995</v>
      </c>
      <c r="G49">
        <v>0.58785900000000002</v>
      </c>
      <c r="H49">
        <v>2.0842018899999998E-2</v>
      </c>
      <c r="I49">
        <v>-4.9588050000000002E-3</v>
      </c>
      <c r="J49">
        <v>0.95499999999999996</v>
      </c>
      <c r="K49">
        <v>1</v>
      </c>
      <c r="M49" t="s">
        <v>16</v>
      </c>
      <c r="N49">
        <v>-7.7763999999999998</v>
      </c>
      <c r="O49">
        <v>-7.7866790000000004</v>
      </c>
      <c r="P49">
        <v>-1.0250361E-2</v>
      </c>
      <c r="Q49">
        <v>0.66273099999999996</v>
      </c>
      <c r="R49">
        <v>0.66497099999999998</v>
      </c>
      <c r="S49">
        <v>3.3796163999999999E-3</v>
      </c>
      <c r="T49">
        <v>1.3181321999999999E-3</v>
      </c>
      <c r="U49">
        <v>0.95199999999999996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25">
      <c r="A50" s="14"/>
      <c r="B50" t="s">
        <v>17</v>
      </c>
      <c r="C50">
        <v>5.8681000000000001</v>
      </c>
      <c r="D50">
        <v>5.8685580000000002</v>
      </c>
      <c r="E50">
        <v>4.1925010000000001E-4</v>
      </c>
      <c r="F50">
        <v>3.2412999999999997E-2</v>
      </c>
      <c r="G50">
        <v>3.4525E-2</v>
      </c>
      <c r="H50">
        <v>6.5165898299999997E-2</v>
      </c>
      <c r="I50">
        <v>7.1445200000000005E-5</v>
      </c>
      <c r="J50">
        <v>0.96299999999999997</v>
      </c>
      <c r="K50">
        <v>1</v>
      </c>
      <c r="M50" t="s">
        <v>17</v>
      </c>
      <c r="N50">
        <v>5.8643999999999998</v>
      </c>
      <c r="O50">
        <v>5.846787</v>
      </c>
      <c r="P50">
        <v>-1.7623939000000002E-2</v>
      </c>
      <c r="Q50">
        <v>3.0284999999999999E-2</v>
      </c>
      <c r="R50">
        <v>3.2730000000000002E-2</v>
      </c>
      <c r="S50">
        <v>8.0745173099999998E-2</v>
      </c>
      <c r="T50">
        <v>-3.0052360000000001E-3</v>
      </c>
      <c r="U50">
        <v>0.94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25">
      <c r="A51" s="14"/>
      <c r="B51" t="s">
        <v>18</v>
      </c>
      <c r="C51">
        <v>2.8400000000000002E-2</v>
      </c>
      <c r="D51">
        <v>3.1123999999999999E-2</v>
      </c>
      <c r="E51">
        <v>2.7073703999999999E-3</v>
      </c>
      <c r="F51">
        <v>2.2703000000000001E-2</v>
      </c>
      <c r="G51">
        <v>2.3047000000000002E-2</v>
      </c>
      <c r="H51">
        <v>1.5120941000000001E-2</v>
      </c>
      <c r="I51">
        <v>9.5274508899999999E-2</v>
      </c>
      <c r="J51">
        <v>0.94699999999999995</v>
      </c>
      <c r="K51">
        <v>0.27100000000000002</v>
      </c>
      <c r="M51" t="s">
        <v>18</v>
      </c>
      <c r="N51">
        <v>3.2099999999999997E-2</v>
      </c>
      <c r="O51">
        <v>5.1799999999999999E-2</v>
      </c>
      <c r="P51">
        <v>1.96912827E-2</v>
      </c>
      <c r="Q51">
        <v>1.9588999999999999E-2</v>
      </c>
      <c r="R51">
        <v>2.0077000000000001E-2</v>
      </c>
      <c r="S51">
        <v>2.4889507500000001E-2</v>
      </c>
      <c r="T51">
        <v>0.61327526170000002</v>
      </c>
      <c r="U51">
        <v>0.83599999999999997</v>
      </c>
      <c r="V51">
        <v>0.73499999999999999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45" customHeight="1" x14ac:dyDescent="0.25">
      <c r="A53" s="13" t="s">
        <v>97</v>
      </c>
      <c r="B53" s="1" t="s">
        <v>477</v>
      </c>
      <c r="J53" s="12" t="str">
        <f>INDEX('Method Codes'!$B:$B, MATCH(B53, 'Method Codes'!$I:$I,0))</f>
        <v>IND</v>
      </c>
      <c r="K53" s="12" t="str">
        <f>INDEX('Method Codes'!H:H, MATCH(B53, 'Method Codes'!I:I,0))</f>
        <v>5C</v>
      </c>
      <c r="M53" s="1" t="s">
        <v>537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5C</v>
      </c>
      <c r="X53" s="1" t="s">
        <v>318</v>
      </c>
      <c r="AI53" s="1" t="s">
        <v>319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104.008786</v>
      </c>
      <c r="E55">
        <v>-3.0686224449999999</v>
      </c>
      <c r="F55">
        <v>1.3736109999999999</v>
      </c>
      <c r="G55">
        <v>1.461338</v>
      </c>
      <c r="H55">
        <v>6.3865703100000004E-2</v>
      </c>
      <c r="I55">
        <v>-2.8657981999999999E-2</v>
      </c>
      <c r="J55">
        <v>0.45500000000000002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101.41365399999999</v>
      </c>
      <c r="P55">
        <v>-5.398802742</v>
      </c>
      <c r="Q55">
        <v>1.497063</v>
      </c>
      <c r="R55">
        <v>1.6885680000000001</v>
      </c>
      <c r="S55">
        <v>0.12792027989999999</v>
      </c>
      <c r="T55">
        <v>-5.0544692000000002E-2</v>
      </c>
      <c r="U55">
        <v>0.08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25">
      <c r="A56" s="14"/>
      <c r="B56" t="s">
        <v>13</v>
      </c>
      <c r="C56">
        <v>-4.7686000000000002</v>
      </c>
      <c r="D56">
        <v>-4.8235640000000002</v>
      </c>
      <c r="E56">
        <v>-5.4922033000000002E-2</v>
      </c>
      <c r="F56">
        <v>0.52173400000000003</v>
      </c>
      <c r="G56">
        <v>0.55669100000000005</v>
      </c>
      <c r="H56">
        <v>6.7002298299999999E-2</v>
      </c>
      <c r="I56">
        <v>1.15173328E-2</v>
      </c>
      <c r="J56">
        <v>0.96699999999999997</v>
      </c>
      <c r="K56">
        <v>0</v>
      </c>
      <c r="M56" t="s">
        <v>13</v>
      </c>
      <c r="N56">
        <v>-4.7992999999999997</v>
      </c>
      <c r="O56">
        <v>-5.0313210000000002</v>
      </c>
      <c r="P56">
        <v>-0.23203895499999999</v>
      </c>
      <c r="Q56">
        <v>0.58064499999999997</v>
      </c>
      <c r="R56">
        <v>0.62848099999999996</v>
      </c>
      <c r="S56">
        <v>8.23838816E-2</v>
      </c>
      <c r="T56">
        <v>4.83486822E-2</v>
      </c>
      <c r="U56">
        <v>0.95499999999999996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25">
      <c r="A57" s="14"/>
      <c r="B57" t="s">
        <v>14</v>
      </c>
      <c r="C57">
        <v>8.6966999999999999</v>
      </c>
      <c r="D57">
        <v>10.655161</v>
      </c>
      <c r="E57">
        <v>1.9584625303000001</v>
      </c>
      <c r="F57">
        <v>0.33167600000000003</v>
      </c>
      <c r="G57">
        <v>0.32644099999999998</v>
      </c>
      <c r="H57">
        <v>-1.5783464000000001E-2</v>
      </c>
      <c r="I57">
        <v>0.22519608930000001</v>
      </c>
      <c r="J57">
        <v>0</v>
      </c>
      <c r="K57">
        <v>0</v>
      </c>
      <c r="M57" t="s">
        <v>14</v>
      </c>
      <c r="N57">
        <v>8.7021999999999995</v>
      </c>
      <c r="O57">
        <v>11.689633000000001</v>
      </c>
      <c r="P57">
        <v>2.9874260392999998</v>
      </c>
      <c r="Q57">
        <v>0.38594699999999998</v>
      </c>
      <c r="R57">
        <v>0.364672</v>
      </c>
      <c r="S57">
        <v>-5.5124119999999999E-2</v>
      </c>
      <c r="T57">
        <v>0.34329520299999999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25">
      <c r="A58" s="14"/>
      <c r="B58" t="s">
        <v>15</v>
      </c>
      <c r="C58">
        <v>-1.6103000000000001</v>
      </c>
      <c r="D58">
        <v>-1.024181</v>
      </c>
      <c r="E58">
        <v>0.58611357269999997</v>
      </c>
      <c r="F58">
        <v>0.332424</v>
      </c>
      <c r="G58">
        <v>0.35381099999999999</v>
      </c>
      <c r="H58">
        <v>6.4338376399999994E-2</v>
      </c>
      <c r="I58">
        <v>-0.36397910500000002</v>
      </c>
      <c r="J58">
        <v>0.626</v>
      </c>
      <c r="K58">
        <v>0</v>
      </c>
      <c r="M58" t="s">
        <v>15</v>
      </c>
      <c r="N58">
        <v>-1.5806</v>
      </c>
      <c r="O58">
        <v>-0.65808199999999994</v>
      </c>
      <c r="P58">
        <v>0.92254343839999997</v>
      </c>
      <c r="Q58">
        <v>0.373056</v>
      </c>
      <c r="R58">
        <v>0.41852800000000001</v>
      </c>
      <c r="S58">
        <v>0.1218897578</v>
      </c>
      <c r="T58">
        <v>-0.58365703700000005</v>
      </c>
      <c r="U58">
        <v>0.39700000000000002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25">
      <c r="A59" s="14"/>
      <c r="B59" t="s">
        <v>16</v>
      </c>
      <c r="C59">
        <v>-7.9151999999999996</v>
      </c>
      <c r="D59">
        <v>-9.6268019999999996</v>
      </c>
      <c r="E59">
        <v>-1.7116266170000001</v>
      </c>
      <c r="F59">
        <v>0.38893</v>
      </c>
      <c r="G59">
        <v>0.398038</v>
      </c>
      <c r="H59">
        <v>2.3417907799999998E-2</v>
      </c>
      <c r="I59">
        <v>0.2162461953</v>
      </c>
      <c r="J59">
        <v>8.0000000000000002E-3</v>
      </c>
      <c r="K59">
        <v>0</v>
      </c>
      <c r="M59" t="s">
        <v>16</v>
      </c>
      <c r="N59">
        <v>-7.7763999999999998</v>
      </c>
      <c r="O59">
        <v>-10.39542</v>
      </c>
      <c r="P59">
        <v>-2.6189909889999998</v>
      </c>
      <c r="Q59">
        <v>0.45177600000000001</v>
      </c>
      <c r="R59">
        <v>0.44481900000000002</v>
      </c>
      <c r="S59">
        <v>-1.5398386999999999E-2</v>
      </c>
      <c r="T59">
        <v>0.33678581730000001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25">
      <c r="A60" s="14"/>
      <c r="B60" t="s">
        <v>17</v>
      </c>
      <c r="C60">
        <v>5.8681000000000001</v>
      </c>
      <c r="D60">
        <v>5.7925810000000002</v>
      </c>
      <c r="E60">
        <v>-7.5558160999999999E-2</v>
      </c>
      <c r="F60">
        <v>2.6415000000000001E-2</v>
      </c>
      <c r="G60">
        <v>2.7498999999999999E-2</v>
      </c>
      <c r="H60">
        <v>4.1023805699999999E-2</v>
      </c>
      <c r="I60">
        <v>-1.2876E-2</v>
      </c>
      <c r="J60">
        <v>0.23599999999999999</v>
      </c>
      <c r="K60">
        <v>0</v>
      </c>
      <c r="M60" t="s">
        <v>17</v>
      </c>
      <c r="N60">
        <v>5.8643999999999998</v>
      </c>
      <c r="O60">
        <v>5.8154919999999999</v>
      </c>
      <c r="P60">
        <v>-4.8918521999999999E-2</v>
      </c>
      <c r="Q60">
        <v>2.3377999999999999E-2</v>
      </c>
      <c r="R60">
        <v>2.4733999999999999E-2</v>
      </c>
      <c r="S60">
        <v>5.7977002399999998E-2</v>
      </c>
      <c r="T60">
        <v>-8.3415920000000001E-3</v>
      </c>
      <c r="U60">
        <v>0.497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25">
      <c r="A61" s="14"/>
      <c r="B61" t="s">
        <v>18</v>
      </c>
      <c r="C61">
        <v>2.8400000000000002E-2</v>
      </c>
      <c r="D61">
        <v>2.521E-2</v>
      </c>
      <c r="E61">
        <v>-3.2069289999999999E-3</v>
      </c>
      <c r="F61">
        <v>1.6829E-2</v>
      </c>
      <c r="G61">
        <v>1.8624000000000002E-2</v>
      </c>
      <c r="H61">
        <v>0.1066440605</v>
      </c>
      <c r="I61">
        <v>-0.112854364</v>
      </c>
      <c r="J61">
        <v>0.96899999999999997</v>
      </c>
      <c r="K61">
        <v>0</v>
      </c>
      <c r="M61" t="s">
        <v>18</v>
      </c>
      <c r="N61">
        <v>3.2099999999999997E-2</v>
      </c>
      <c r="O61">
        <v>3.2293000000000002E-2</v>
      </c>
      <c r="P61">
        <v>1.8501450000000001E-4</v>
      </c>
      <c r="Q61">
        <v>1.4694E-2</v>
      </c>
      <c r="R61">
        <v>1.6961E-2</v>
      </c>
      <c r="S61">
        <v>0.1542854723</v>
      </c>
      <c r="T61">
        <v>5.7621864E-3</v>
      </c>
      <c r="U61">
        <v>0.97499999999999998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45" customHeight="1" x14ac:dyDescent="0.25">
      <c r="A63" s="13" t="s">
        <v>98</v>
      </c>
      <c r="B63" s="1" t="s">
        <v>487</v>
      </c>
      <c r="J63" s="12" t="str">
        <f>INDEX('Method Codes'!$B:$B, MATCH(B63, 'Method Codes'!$I:$I,0))</f>
        <v>IND</v>
      </c>
      <c r="K63" s="12" t="str">
        <f>INDEX('Method Codes'!H:H, MATCH(B63, 'Method Codes'!I:I,0))</f>
        <v>6E</v>
      </c>
      <c r="M63" s="1" t="s">
        <v>546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6E</v>
      </c>
      <c r="X63" s="1" t="s">
        <v>320</v>
      </c>
      <c r="AI63" s="1" t="s">
        <v>321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107.064065</v>
      </c>
      <c r="E65">
        <v>-1.3343226E-2</v>
      </c>
      <c r="F65">
        <v>1.5534019999999999</v>
      </c>
      <c r="G65">
        <v>1.5953189999999999</v>
      </c>
      <c r="H65">
        <v>2.6984034899999999E-2</v>
      </c>
      <c r="I65">
        <v>-1.2461300000000001E-4</v>
      </c>
      <c r="J65">
        <v>0.95699999999999996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105.60812799999999</v>
      </c>
      <c r="P65">
        <v>-1.2043287469999999</v>
      </c>
      <c r="Q65">
        <v>1.7068449999999999</v>
      </c>
      <c r="R65">
        <v>1.7930189999999999</v>
      </c>
      <c r="S65">
        <v>5.04873219E-2</v>
      </c>
      <c r="T65">
        <v>-1.1275171E-2</v>
      </c>
      <c r="U65">
        <v>0.89900000000000002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25">
      <c r="A66" s="14"/>
      <c r="B66" t="s">
        <v>13</v>
      </c>
      <c r="C66">
        <v>-4.7686000000000002</v>
      </c>
      <c r="D66">
        <v>-4.7752049999999997</v>
      </c>
      <c r="E66">
        <v>-6.5635379999999998E-3</v>
      </c>
      <c r="F66">
        <v>0.58508400000000005</v>
      </c>
      <c r="G66">
        <v>0.59429299999999996</v>
      </c>
      <c r="H66">
        <v>1.5739698199999999E-2</v>
      </c>
      <c r="I66">
        <v>1.3763957999999999E-3</v>
      </c>
      <c r="J66">
        <v>0.95299999999999996</v>
      </c>
      <c r="K66">
        <v>1</v>
      </c>
      <c r="M66" t="s">
        <v>13</v>
      </c>
      <c r="N66">
        <v>-4.7992999999999997</v>
      </c>
      <c r="O66">
        <v>-4.9154780000000002</v>
      </c>
      <c r="P66">
        <v>-0.116195776</v>
      </c>
      <c r="Q66">
        <v>0.64168199999999997</v>
      </c>
      <c r="R66">
        <v>0.65268999999999999</v>
      </c>
      <c r="S66">
        <v>1.7155842800000001E-2</v>
      </c>
      <c r="T66">
        <v>2.4211075499999998E-2</v>
      </c>
      <c r="U66">
        <v>0.94899999999999995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25">
      <c r="A67" s="14"/>
      <c r="B67" t="s">
        <v>14</v>
      </c>
      <c r="C67">
        <v>8.6966999999999999</v>
      </c>
      <c r="D67">
        <v>8.7022309999999994</v>
      </c>
      <c r="E67">
        <v>5.5320161000000003E-3</v>
      </c>
      <c r="F67">
        <v>0.35903299999999999</v>
      </c>
      <c r="G67">
        <v>0.356319</v>
      </c>
      <c r="H67">
        <v>-7.5574919999999999E-3</v>
      </c>
      <c r="I67">
        <v>6.3610529999999998E-4</v>
      </c>
      <c r="J67">
        <v>0.95</v>
      </c>
      <c r="K67">
        <v>1</v>
      </c>
      <c r="M67" t="s">
        <v>14</v>
      </c>
      <c r="N67">
        <v>8.7021999999999995</v>
      </c>
      <c r="O67">
        <v>9.1851190000000003</v>
      </c>
      <c r="P67">
        <v>0.48291187229999999</v>
      </c>
      <c r="Q67">
        <v>0.38634000000000002</v>
      </c>
      <c r="R67">
        <v>0.38352199999999997</v>
      </c>
      <c r="S67">
        <v>-7.2931009999999998E-3</v>
      </c>
      <c r="T67">
        <v>5.54930322E-2</v>
      </c>
      <c r="U67">
        <v>0.751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25">
      <c r="A68" s="14"/>
      <c r="B68" t="s">
        <v>15</v>
      </c>
      <c r="C68">
        <v>-1.6103000000000001</v>
      </c>
      <c r="D68">
        <v>-1.601801</v>
      </c>
      <c r="E68">
        <v>8.4938500000000007E-3</v>
      </c>
      <c r="F68">
        <v>0.36672399999999999</v>
      </c>
      <c r="G68">
        <v>0.38128000000000001</v>
      </c>
      <c r="H68">
        <v>3.9693183700000002E-2</v>
      </c>
      <c r="I68">
        <v>-5.2747180000000003E-3</v>
      </c>
      <c r="J68">
        <v>0.95899999999999996</v>
      </c>
      <c r="K68">
        <v>0.99199999999999999</v>
      </c>
      <c r="M68" t="s">
        <v>15</v>
      </c>
      <c r="N68">
        <v>-1.5806</v>
      </c>
      <c r="O68">
        <v>-1.4457100000000001</v>
      </c>
      <c r="P68">
        <v>0.13491629829999999</v>
      </c>
      <c r="Q68">
        <v>0.413912</v>
      </c>
      <c r="R68">
        <v>0.43851800000000002</v>
      </c>
      <c r="S68">
        <v>5.94487026E-2</v>
      </c>
      <c r="T68">
        <v>-8.5356247999999996E-2</v>
      </c>
      <c r="U68">
        <v>0.95599999999999996</v>
      </c>
      <c r="V68">
        <v>0.91100000000000003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25">
      <c r="A69" s="14"/>
      <c r="B69" t="s">
        <v>16</v>
      </c>
      <c r="C69">
        <v>-7.9151999999999996</v>
      </c>
      <c r="D69">
        <v>-7.9303020000000002</v>
      </c>
      <c r="E69">
        <v>-1.5126741000000001E-2</v>
      </c>
      <c r="F69">
        <v>0.43246899999999999</v>
      </c>
      <c r="G69">
        <v>0.44427699999999998</v>
      </c>
      <c r="H69">
        <v>2.7303362800000001E-2</v>
      </c>
      <c r="I69">
        <v>1.9111061999999999E-3</v>
      </c>
      <c r="J69">
        <v>0.95099999999999996</v>
      </c>
      <c r="K69">
        <v>1</v>
      </c>
      <c r="M69" t="s">
        <v>16</v>
      </c>
      <c r="N69">
        <v>-7.7763999999999998</v>
      </c>
      <c r="O69">
        <v>-8.2729060000000008</v>
      </c>
      <c r="P69">
        <v>-0.496477155</v>
      </c>
      <c r="Q69">
        <v>0.475186</v>
      </c>
      <c r="R69">
        <v>0.47700900000000002</v>
      </c>
      <c r="S69">
        <v>3.8360770999999998E-3</v>
      </c>
      <c r="T69">
        <v>6.3843848699999997E-2</v>
      </c>
      <c r="U69">
        <v>0.82399999999999995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25">
      <c r="A70" s="14"/>
      <c r="B70" t="s">
        <v>17</v>
      </c>
      <c r="C70">
        <v>5.8681000000000001</v>
      </c>
      <c r="D70">
        <v>5.8720970000000001</v>
      </c>
      <c r="E70">
        <v>3.9580058E-3</v>
      </c>
      <c r="F70">
        <v>3.1053000000000001E-2</v>
      </c>
      <c r="G70">
        <v>3.3738999999999998E-2</v>
      </c>
      <c r="H70">
        <v>8.6488518299999997E-2</v>
      </c>
      <c r="I70">
        <v>6.7449079999999998E-4</v>
      </c>
      <c r="J70">
        <v>0.96599999999999997</v>
      </c>
      <c r="K70">
        <v>1</v>
      </c>
      <c r="M70" t="s">
        <v>17</v>
      </c>
      <c r="N70">
        <v>5.8643999999999998</v>
      </c>
      <c r="O70">
        <v>5.8679059999999996</v>
      </c>
      <c r="P70">
        <v>3.4949355E-3</v>
      </c>
      <c r="Q70">
        <v>2.7945000000000001E-2</v>
      </c>
      <c r="R70">
        <v>3.0284999999999999E-2</v>
      </c>
      <c r="S70">
        <v>8.3748182300000001E-2</v>
      </c>
      <c r="T70">
        <v>5.9595679999999997E-4</v>
      </c>
      <c r="U70">
        <v>0.96899999999999997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25">
      <c r="A71" s="14"/>
      <c r="B71" t="s">
        <v>18</v>
      </c>
      <c r="C71">
        <v>2.8400000000000002E-2</v>
      </c>
      <c r="D71">
        <v>2.7997000000000001E-2</v>
      </c>
      <c r="E71">
        <v>-4.1951E-4</v>
      </c>
      <c r="F71">
        <v>1.9595000000000001E-2</v>
      </c>
      <c r="G71">
        <v>1.9585000000000002E-2</v>
      </c>
      <c r="H71">
        <v>-4.9077300000000001E-4</v>
      </c>
      <c r="I71">
        <v>-1.4762890000000001E-2</v>
      </c>
      <c r="J71">
        <v>0.95199999999999996</v>
      </c>
      <c r="K71">
        <v>0.28499999999999998</v>
      </c>
      <c r="M71" t="s">
        <v>18</v>
      </c>
      <c r="N71">
        <v>3.2099999999999997E-2</v>
      </c>
      <c r="O71">
        <v>3.7501E-2</v>
      </c>
      <c r="P71">
        <v>5.3926139E-3</v>
      </c>
      <c r="Q71">
        <v>1.7912000000000001E-2</v>
      </c>
      <c r="R71">
        <v>1.8099000000000001E-2</v>
      </c>
      <c r="S71">
        <v>1.04220298E-2</v>
      </c>
      <c r="T71">
        <v>0.1679502933</v>
      </c>
      <c r="U71">
        <v>0.93600000000000005</v>
      </c>
      <c r="V71">
        <v>0.53600000000000003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015" priority="33" stopIfTrue="1" operator="between">
      <formula>0.9365</formula>
      <formula>0.9635</formula>
    </cfRule>
    <cfRule type="cellIs" dxfId="1014" priority="34" stopIfTrue="1" operator="between">
      <formula>0</formula>
      <formula>1</formula>
    </cfRule>
    <cfRule type="cellIs" dxfId="1013" priority="35" stopIfTrue="1" operator="between">
      <formula>0.8</formula>
      <formula>0.9</formula>
    </cfRule>
    <cfRule type="cellIs" dxfId="1012" priority="36" stopIfTrue="1" operator="between">
      <formula>0</formula>
      <formula>0.8</formula>
    </cfRule>
  </conditionalFormatting>
  <conditionalFormatting sqref="J15:J21">
    <cfRule type="cellIs" dxfId="1011" priority="27" stopIfTrue="1" operator="between">
      <formula>0.8</formula>
      <formula>0.9</formula>
    </cfRule>
    <cfRule type="cellIs" dxfId="1010" priority="25" stopIfTrue="1" operator="between">
      <formula>0.9365</formula>
      <formula>0.9635</formula>
    </cfRule>
    <cfRule type="cellIs" dxfId="1009" priority="26" stopIfTrue="1" operator="between">
      <formula>0</formula>
      <formula>1</formula>
    </cfRule>
    <cfRule type="cellIs" dxfId="1008" priority="28" stopIfTrue="1" operator="between">
      <formula>0</formula>
      <formula>0.8</formula>
    </cfRule>
  </conditionalFormatting>
  <conditionalFormatting sqref="J25:J31">
    <cfRule type="cellIs" dxfId="1007" priority="29" stopIfTrue="1" operator="between">
      <formula>0.95</formula>
      <formula>1</formula>
    </cfRule>
    <cfRule type="cellIs" dxfId="1006" priority="31" stopIfTrue="1" operator="between">
      <formula>0.8</formula>
      <formula>0.9</formula>
    </cfRule>
    <cfRule type="cellIs" dxfId="1005" priority="32" stopIfTrue="1" operator="between">
      <formula>0</formula>
      <formula>0.8</formula>
    </cfRule>
    <cfRule type="cellIs" dxfId="1004" priority="30" stopIfTrue="1" operator="between">
      <formula>0.9</formula>
      <formula>0.95</formula>
    </cfRule>
  </conditionalFormatting>
  <conditionalFormatting sqref="J35:J41">
    <cfRule type="cellIs" dxfId="1003" priority="21" stopIfTrue="1" operator="between">
      <formula>0.9365</formula>
      <formula>0.9635</formula>
    </cfRule>
    <cfRule type="cellIs" dxfId="1002" priority="22" stopIfTrue="1" operator="between">
      <formula>0</formula>
      <formula>1</formula>
    </cfRule>
    <cfRule type="cellIs" dxfId="1001" priority="23" stopIfTrue="1" operator="between">
      <formula>0.8</formula>
      <formula>0.9</formula>
    </cfRule>
    <cfRule type="cellIs" dxfId="1000" priority="24" stopIfTrue="1" operator="between">
      <formula>0</formula>
      <formula>0.8</formula>
    </cfRule>
  </conditionalFormatting>
  <conditionalFormatting sqref="J45:J51">
    <cfRule type="cellIs" dxfId="999" priority="19" stopIfTrue="1" operator="between">
      <formula>0.8</formula>
      <formula>0.9</formula>
    </cfRule>
    <cfRule type="cellIs" dxfId="998" priority="20" stopIfTrue="1" operator="between">
      <formula>0</formula>
      <formula>0.8</formula>
    </cfRule>
    <cfRule type="cellIs" dxfId="997" priority="17" stopIfTrue="1" operator="between">
      <formula>0.9365</formula>
      <formula>0.9635</formula>
    </cfRule>
    <cfRule type="cellIs" dxfId="996" priority="18" stopIfTrue="1" operator="between">
      <formula>0</formula>
      <formula>1</formula>
    </cfRule>
  </conditionalFormatting>
  <conditionalFormatting sqref="J55:J61">
    <cfRule type="cellIs" dxfId="995" priority="15" stopIfTrue="1" operator="between">
      <formula>0.8</formula>
      <formula>0.9</formula>
    </cfRule>
    <cfRule type="cellIs" dxfId="994" priority="13" stopIfTrue="1" operator="between">
      <formula>0.9365</formula>
      <formula>0.9635</formula>
    </cfRule>
    <cfRule type="cellIs" dxfId="993" priority="14" stopIfTrue="1" operator="between">
      <formula>0</formula>
      <formula>1</formula>
    </cfRule>
    <cfRule type="cellIs" dxfId="992" priority="16" stopIfTrue="1" operator="between">
      <formula>0</formula>
      <formula>0.8</formula>
    </cfRule>
  </conditionalFormatting>
  <conditionalFormatting sqref="J65:J71">
    <cfRule type="cellIs" dxfId="991" priority="10" stopIfTrue="1" operator="between">
      <formula>0</formula>
      <formula>1</formula>
    </cfRule>
    <cfRule type="cellIs" dxfId="990" priority="11" stopIfTrue="1" operator="between">
      <formula>0.8</formula>
      <formula>0.9</formula>
    </cfRule>
    <cfRule type="cellIs" dxfId="989" priority="12" stopIfTrue="1" operator="between">
      <formula>0</formula>
      <formula>0.8</formula>
    </cfRule>
    <cfRule type="cellIs" dxfId="988" priority="9" stopIfTrue="1" operator="between">
      <formula>0.9365</formula>
      <formula>0.9635</formula>
    </cfRule>
  </conditionalFormatting>
  <conditionalFormatting sqref="U5:U11">
    <cfRule type="cellIs" dxfId="987" priority="53" stopIfTrue="1" operator="between">
      <formula>0.9365</formula>
      <formula>0.9635</formula>
    </cfRule>
    <cfRule type="cellIs" dxfId="986" priority="54" stopIfTrue="1" operator="between">
      <formula>0</formula>
      <formula>1</formula>
    </cfRule>
    <cfRule type="cellIs" dxfId="985" priority="55" stopIfTrue="1" operator="between">
      <formula>0.8</formula>
      <formula>0.9</formula>
    </cfRule>
    <cfRule type="cellIs" dxfId="984" priority="56" stopIfTrue="1" operator="between">
      <formula>0</formula>
      <formula>0.8</formula>
    </cfRule>
  </conditionalFormatting>
  <conditionalFormatting sqref="U15:U21">
    <cfRule type="cellIs" dxfId="983" priority="48" stopIfTrue="1" operator="between">
      <formula>0</formula>
      <formula>0.8</formula>
    </cfRule>
    <cfRule type="cellIs" dxfId="982" priority="47" stopIfTrue="1" operator="between">
      <formula>0.8</formula>
      <formula>0.9</formula>
    </cfRule>
    <cfRule type="cellIs" dxfId="981" priority="46" stopIfTrue="1" operator="between">
      <formula>0</formula>
      <formula>1</formula>
    </cfRule>
    <cfRule type="cellIs" dxfId="980" priority="45" stopIfTrue="1" operator="between">
      <formula>0.9365</formula>
      <formula>0.9635</formula>
    </cfRule>
  </conditionalFormatting>
  <conditionalFormatting sqref="U25:U31">
    <cfRule type="cellIs" dxfId="979" priority="49" stopIfTrue="1" operator="between">
      <formula>0.95</formula>
      <formula>1</formula>
    </cfRule>
    <cfRule type="cellIs" dxfId="978" priority="51" stopIfTrue="1" operator="between">
      <formula>0.8</formula>
      <formula>0.9</formula>
    </cfRule>
    <cfRule type="cellIs" dxfId="977" priority="50" stopIfTrue="1" operator="between">
      <formula>0.9</formula>
      <formula>0.95</formula>
    </cfRule>
    <cfRule type="cellIs" dxfId="976" priority="52" stopIfTrue="1" operator="between">
      <formula>0</formula>
      <formula>0.8</formula>
    </cfRule>
  </conditionalFormatting>
  <conditionalFormatting sqref="U35:U41">
    <cfRule type="cellIs" dxfId="975" priority="42" stopIfTrue="1" operator="between">
      <formula>0</formula>
      <formula>1</formula>
    </cfRule>
    <cfRule type="cellIs" dxfId="974" priority="43" stopIfTrue="1" operator="between">
      <formula>0.8</formula>
      <formula>0.9</formula>
    </cfRule>
    <cfRule type="cellIs" dxfId="973" priority="44" stopIfTrue="1" operator="between">
      <formula>0</formula>
      <formula>0.8</formula>
    </cfRule>
    <cfRule type="cellIs" dxfId="972" priority="41" stopIfTrue="1" operator="between">
      <formula>0.9365</formula>
      <formula>0.9635</formula>
    </cfRule>
  </conditionalFormatting>
  <conditionalFormatting sqref="U45:U51">
    <cfRule type="cellIs" dxfId="971" priority="37" stopIfTrue="1" operator="between">
      <formula>0.9365</formula>
      <formula>0.9635</formula>
    </cfRule>
    <cfRule type="cellIs" dxfId="970" priority="38" stopIfTrue="1" operator="between">
      <formula>0</formula>
      <formula>1</formula>
    </cfRule>
    <cfRule type="cellIs" dxfId="969" priority="40" stopIfTrue="1" operator="between">
      <formula>0</formula>
      <formula>0.8</formula>
    </cfRule>
    <cfRule type="cellIs" dxfId="968" priority="39" stopIfTrue="1" operator="between">
      <formula>0.8</formula>
      <formula>0.9</formula>
    </cfRule>
  </conditionalFormatting>
  <conditionalFormatting sqref="U55:U61">
    <cfRule type="cellIs" dxfId="967" priority="2" stopIfTrue="1" operator="between">
      <formula>0</formula>
      <formula>1</formula>
    </cfRule>
    <cfRule type="cellIs" dxfId="966" priority="3" stopIfTrue="1" operator="between">
      <formula>0.8</formula>
      <formula>0.9</formula>
    </cfRule>
    <cfRule type="cellIs" dxfId="965" priority="4" stopIfTrue="1" operator="between">
      <formula>0</formula>
      <formula>0.8</formula>
    </cfRule>
    <cfRule type="cellIs" dxfId="964" priority="1" stopIfTrue="1" operator="between">
      <formula>0.9365</formula>
      <formula>0.9635</formula>
    </cfRule>
  </conditionalFormatting>
  <conditionalFormatting sqref="U65:U71">
    <cfRule type="cellIs" dxfId="963" priority="5" stopIfTrue="1" operator="between">
      <formula>0.9365</formula>
      <formula>0.9635</formula>
    </cfRule>
    <cfRule type="cellIs" dxfId="962" priority="8" stopIfTrue="1" operator="between">
      <formula>0</formula>
      <formula>0.8</formula>
    </cfRule>
    <cfRule type="cellIs" dxfId="961" priority="7" stopIfTrue="1" operator="between">
      <formula>0.8</formula>
      <formula>0.9</formula>
    </cfRule>
    <cfRule type="cellIs" dxfId="960" priority="6" stopIfTrue="1" operator="between">
      <formula>0</formula>
      <formula>1</formula>
    </cfRule>
  </conditionalFormatting>
  <conditionalFormatting sqref="AF5:AF11">
    <cfRule type="cellIs" dxfId="959" priority="177" stopIfTrue="1" operator="between">
      <formula>0.9365</formula>
      <formula>0.9635</formula>
    </cfRule>
    <cfRule type="cellIs" dxfId="958" priority="178" stopIfTrue="1" operator="between">
      <formula>0.9095</formula>
      <formula>0.9905</formula>
    </cfRule>
    <cfRule type="cellIs" dxfId="957" priority="179" stopIfTrue="1" operator="between">
      <formula>0</formula>
      <formula>1</formula>
    </cfRule>
    <cfRule type="cellIs" dxfId="956" priority="180" stopIfTrue="1" operator="between">
      <formula>0</formula>
      <formula>0.8</formula>
    </cfRule>
  </conditionalFormatting>
  <conditionalFormatting sqref="AF15:AF21">
    <cfRule type="cellIs" dxfId="955" priority="181" stopIfTrue="1" operator="between">
      <formula>0.9365</formula>
      <formula>0.9635</formula>
    </cfRule>
    <cfRule type="cellIs" dxfId="954" priority="182" stopIfTrue="1" operator="between">
      <formula>0.9095</formula>
      <formula>0.9905</formula>
    </cfRule>
    <cfRule type="cellIs" dxfId="953" priority="183" stopIfTrue="1" operator="between">
      <formula>0</formula>
      <formula>1</formula>
    </cfRule>
    <cfRule type="cellIs" dxfId="952" priority="184" stopIfTrue="1" operator="between">
      <formula>0</formula>
      <formula>0.8</formula>
    </cfRule>
  </conditionalFormatting>
  <conditionalFormatting sqref="AF25:AF31">
    <cfRule type="cellIs" dxfId="951" priority="256" stopIfTrue="1" operator="between">
      <formula>0</formula>
      <formula>0.8</formula>
    </cfRule>
    <cfRule type="cellIs" dxfId="950" priority="253" stopIfTrue="1" operator="between">
      <formula>0.95</formula>
      <formula>1</formula>
    </cfRule>
    <cfRule type="cellIs" dxfId="949" priority="254" stopIfTrue="1" operator="between">
      <formula>0.9</formula>
      <formula>0.95</formula>
    </cfRule>
    <cfRule type="cellIs" dxfId="948" priority="255" stopIfTrue="1" operator="between">
      <formula>0.8</formula>
      <formula>0.9</formula>
    </cfRule>
  </conditionalFormatting>
  <conditionalFormatting sqref="AF35:AF41">
    <cfRule type="cellIs" dxfId="947" priority="188" stopIfTrue="1" operator="between">
      <formula>0</formula>
      <formula>0.8</formula>
    </cfRule>
    <cfRule type="cellIs" dxfId="946" priority="185" stopIfTrue="1" operator="between">
      <formula>0.9365</formula>
      <formula>0.9635</formula>
    </cfRule>
    <cfRule type="cellIs" dxfId="945" priority="186" stopIfTrue="1" operator="between">
      <formula>0.9095</formula>
      <formula>0.9905</formula>
    </cfRule>
    <cfRule type="cellIs" dxfId="944" priority="187" stopIfTrue="1" operator="between">
      <formula>0</formula>
      <formula>1</formula>
    </cfRule>
  </conditionalFormatting>
  <conditionalFormatting sqref="AF45:AF51">
    <cfRule type="cellIs" dxfId="943" priority="189" stopIfTrue="1" operator="between">
      <formula>0.9365</formula>
      <formula>0.9635</formula>
    </cfRule>
    <cfRule type="cellIs" dxfId="942" priority="190" stopIfTrue="1" operator="between">
      <formula>0.9095</formula>
      <formula>0.9905</formula>
    </cfRule>
    <cfRule type="cellIs" dxfId="941" priority="191" stopIfTrue="1" operator="between">
      <formula>0</formula>
      <formula>1</formula>
    </cfRule>
    <cfRule type="cellIs" dxfId="940" priority="192" stopIfTrue="1" operator="between">
      <formula>0</formula>
      <formula>0.8</formula>
    </cfRule>
  </conditionalFormatting>
  <conditionalFormatting sqref="AF55:AF61">
    <cfRule type="cellIs" dxfId="939" priority="205" stopIfTrue="1" operator="between">
      <formula>0.9365</formula>
      <formula>0.9635</formula>
    </cfRule>
    <cfRule type="cellIs" dxfId="938" priority="206" stopIfTrue="1" operator="between">
      <formula>0.9095</formula>
      <formula>0.9905</formula>
    </cfRule>
    <cfRule type="cellIs" dxfId="937" priority="207" stopIfTrue="1" operator="between">
      <formula>0</formula>
      <formula>1</formula>
    </cfRule>
    <cfRule type="cellIs" dxfId="936" priority="208" stopIfTrue="1" operator="between">
      <formula>0</formula>
      <formula>0.8</formula>
    </cfRule>
  </conditionalFormatting>
  <conditionalFormatting sqref="AF65:AF71">
    <cfRule type="cellIs" dxfId="935" priority="202" stopIfTrue="1" operator="between">
      <formula>0.9095</formula>
      <formula>0.9905</formula>
    </cfRule>
    <cfRule type="cellIs" dxfId="934" priority="201" stopIfTrue="1" operator="between">
      <formula>0.9365</formula>
      <formula>0.9635</formula>
    </cfRule>
    <cfRule type="cellIs" dxfId="933" priority="204" stopIfTrue="1" operator="between">
      <formula>0</formula>
      <formula>0.8</formula>
    </cfRule>
    <cfRule type="cellIs" dxfId="932" priority="203" stopIfTrue="1" operator="between">
      <formula>0</formula>
      <formula>1</formula>
    </cfRule>
  </conditionalFormatting>
  <conditionalFormatting sqref="AQ5:AQ11">
    <cfRule type="cellIs" dxfId="931" priority="175" stopIfTrue="1" operator="between">
      <formula>0</formula>
      <formula>1</formula>
    </cfRule>
    <cfRule type="cellIs" dxfId="930" priority="173" stopIfTrue="1" operator="between">
      <formula>0.9365</formula>
      <formula>0.9635</formula>
    </cfRule>
    <cfRule type="cellIs" dxfId="929" priority="174" stopIfTrue="1" operator="between">
      <formula>0.9095</formula>
      <formula>0.9905</formula>
    </cfRule>
    <cfRule type="cellIs" dxfId="928" priority="176" stopIfTrue="1" operator="between">
      <formula>0</formula>
      <formula>0.8</formula>
    </cfRule>
  </conditionalFormatting>
  <conditionalFormatting sqref="AQ15:AQ21">
    <cfRule type="cellIs" dxfId="927" priority="169" stopIfTrue="1" operator="between">
      <formula>0.9365</formula>
      <formula>0.9635</formula>
    </cfRule>
    <cfRule type="cellIs" dxfId="926" priority="170" stopIfTrue="1" operator="between">
      <formula>0.9095</formula>
      <formula>0.9905</formula>
    </cfRule>
    <cfRule type="cellIs" dxfId="925" priority="171" stopIfTrue="1" operator="between">
      <formula>0</formula>
      <formula>1</formula>
    </cfRule>
    <cfRule type="cellIs" dxfId="924" priority="172" stopIfTrue="1" operator="between">
      <formula>0</formula>
      <formula>0.8</formula>
    </cfRule>
  </conditionalFormatting>
  <conditionalFormatting sqref="AQ25:AQ31">
    <cfRule type="cellIs" dxfId="923" priority="249" stopIfTrue="1" operator="between">
      <formula>0.95</formula>
      <formula>1</formula>
    </cfRule>
    <cfRule type="cellIs" dxfId="922" priority="250" stopIfTrue="1" operator="between">
      <formula>0.9</formula>
      <formula>0.95</formula>
    </cfRule>
    <cfRule type="cellIs" dxfId="921" priority="251" stopIfTrue="1" operator="between">
      <formula>0.8</formula>
      <formula>0.9</formula>
    </cfRule>
    <cfRule type="cellIs" dxfId="920" priority="252" stopIfTrue="1" operator="between">
      <formula>0</formula>
      <formula>0.8</formula>
    </cfRule>
  </conditionalFormatting>
  <conditionalFormatting sqref="AQ35:AQ41">
    <cfRule type="cellIs" dxfId="919" priority="165" stopIfTrue="1" operator="between">
      <formula>0.9365</formula>
      <formula>0.9635</formula>
    </cfRule>
    <cfRule type="cellIs" dxfId="918" priority="166" stopIfTrue="1" operator="between">
      <formula>0.9095</formula>
      <formula>0.9905</formula>
    </cfRule>
    <cfRule type="cellIs" dxfId="917" priority="167" stopIfTrue="1" operator="between">
      <formula>0</formula>
      <formula>1</formula>
    </cfRule>
    <cfRule type="cellIs" dxfId="916" priority="168" stopIfTrue="1" operator="between">
      <formula>0</formula>
      <formula>0.8</formula>
    </cfRule>
  </conditionalFormatting>
  <conditionalFormatting sqref="AQ45:AQ51">
    <cfRule type="cellIs" dxfId="915" priority="164" stopIfTrue="1" operator="between">
      <formula>0</formula>
      <formula>0.8</formula>
    </cfRule>
    <cfRule type="cellIs" dxfId="914" priority="162" stopIfTrue="1" operator="between">
      <formula>0.9095</formula>
      <formula>0.9905</formula>
    </cfRule>
    <cfRule type="cellIs" dxfId="913" priority="161" stopIfTrue="1" operator="between">
      <formula>0.9365</formula>
      <formula>0.9635</formula>
    </cfRule>
    <cfRule type="cellIs" dxfId="912" priority="163" stopIfTrue="1" operator="between">
      <formula>0</formula>
      <formula>1</formula>
    </cfRule>
  </conditionalFormatting>
  <conditionalFormatting sqref="AQ55:AQ61">
    <cfRule type="cellIs" dxfId="911" priority="198" stopIfTrue="1" operator="between">
      <formula>0.9095</formula>
      <formula>0.9905</formula>
    </cfRule>
    <cfRule type="cellIs" dxfId="910" priority="199" stopIfTrue="1" operator="between">
      <formula>0</formula>
      <formula>1</formula>
    </cfRule>
    <cfRule type="cellIs" dxfId="909" priority="200" stopIfTrue="1" operator="between">
      <formula>0</formula>
      <formula>0.8</formula>
    </cfRule>
    <cfRule type="cellIs" dxfId="908" priority="197" stopIfTrue="1" operator="between">
      <formula>0.9365</formula>
      <formula>0.9635</formula>
    </cfRule>
  </conditionalFormatting>
  <conditionalFormatting sqref="AQ65:AQ71">
    <cfRule type="cellIs" dxfId="907" priority="195" stopIfTrue="1" operator="between">
      <formula>0</formula>
      <formula>1</formula>
    </cfRule>
    <cfRule type="cellIs" dxfId="906" priority="194" stopIfTrue="1" operator="between">
      <formula>0.9095</formula>
      <formula>0.9905</formula>
    </cfRule>
    <cfRule type="cellIs" dxfId="905" priority="193" stopIfTrue="1" operator="between">
      <formula>0.9365</formula>
      <formula>0.9635</formula>
    </cfRule>
    <cfRule type="cellIs" dxfId="904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2DE6-F32B-4165-B8AA-F9DB86809FE7}">
  <dimension ref="A1:AU71"/>
  <sheetViews>
    <sheetView topLeftCell="A43" zoomScaleNormal="100" workbookViewId="0">
      <selection activeCell="C49" sqref="C49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8" width="9.140625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9.140625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653</v>
      </c>
      <c r="J3" s="12" t="str">
        <f>INDEX('Method Codes'!$B:$B, MATCH(B3, 'Method Codes'!$I:$I,0))</f>
        <v>IND</v>
      </c>
      <c r="K3" s="12" t="str">
        <f>INDEX('Method Codes'!$H:$H, MATCH(B3, 'Method Codes'!$I:$I,0))</f>
        <v>1I</v>
      </c>
      <c r="M3" s="1" t="s">
        <v>654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1I</v>
      </c>
      <c r="X3" s="1" t="s">
        <v>655</v>
      </c>
      <c r="AI3" s="1" t="s">
        <v>656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107.139999</v>
      </c>
      <c r="E5">
        <v>6.2590152999999996E-2</v>
      </c>
      <c r="F5">
        <v>1.3484959999999999</v>
      </c>
      <c r="G5">
        <v>1.3570869999999999</v>
      </c>
      <c r="H5">
        <v>6.3712287000000003E-3</v>
      </c>
      <c r="I5">
        <v>5.8453179999999995E-4</v>
      </c>
      <c r="J5">
        <v>0.94358974360000003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107.27319199999999</v>
      </c>
      <c r="P5">
        <v>0.46073542540000001</v>
      </c>
      <c r="Q5">
        <v>1.3786119999999999</v>
      </c>
      <c r="R5">
        <v>1.393003</v>
      </c>
      <c r="S5">
        <v>1.0438637799999999E-2</v>
      </c>
      <c r="T5">
        <v>4.3134990000000002E-3</v>
      </c>
      <c r="U5">
        <v>0.93645833329999995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-4.7748379999999999</v>
      </c>
      <c r="E6">
        <v>-6.1959099999999998E-3</v>
      </c>
      <c r="F6">
        <v>0.52117500000000005</v>
      </c>
      <c r="G6">
        <v>0.51953800000000006</v>
      </c>
      <c r="H6">
        <v>-3.1418850000000001E-3</v>
      </c>
      <c r="I6">
        <v>1.2993028000000001E-3</v>
      </c>
      <c r="J6">
        <v>0.94974358969999995</v>
      </c>
      <c r="K6">
        <v>0</v>
      </c>
      <c r="M6" t="s">
        <v>13</v>
      </c>
      <c r="N6">
        <v>-4.7992999999999997</v>
      </c>
      <c r="O6">
        <v>-4.748113</v>
      </c>
      <c r="P6">
        <v>5.1169293499999997E-2</v>
      </c>
      <c r="Q6">
        <v>0.53917800000000005</v>
      </c>
      <c r="R6">
        <v>0.56073700000000004</v>
      </c>
      <c r="S6">
        <v>3.9984669899999999E-2</v>
      </c>
      <c r="T6">
        <v>-1.0661865E-2</v>
      </c>
      <c r="U6">
        <v>0.94895833330000001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8.7042990000000007</v>
      </c>
      <c r="E7">
        <v>7.5999860000000004E-3</v>
      </c>
      <c r="F7">
        <v>0.30779699999999999</v>
      </c>
      <c r="G7">
        <v>0.30581900000000001</v>
      </c>
      <c r="H7">
        <v>-6.425732E-3</v>
      </c>
      <c r="I7">
        <v>8.738932E-4</v>
      </c>
      <c r="J7">
        <v>0.9517948718</v>
      </c>
      <c r="K7">
        <v>0</v>
      </c>
      <c r="M7" t="s">
        <v>14</v>
      </c>
      <c r="N7">
        <v>8.7021999999999995</v>
      </c>
      <c r="O7">
        <v>8.7054299999999998</v>
      </c>
      <c r="P7">
        <v>3.2229611999999999E-3</v>
      </c>
      <c r="Q7">
        <v>0.34140100000000001</v>
      </c>
      <c r="R7">
        <v>0.34302199999999999</v>
      </c>
      <c r="S7">
        <v>4.7476276000000001E-3</v>
      </c>
      <c r="T7">
        <v>3.7036129999999998E-4</v>
      </c>
      <c r="U7">
        <v>0.94895833330000001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-1.6150329999999999</v>
      </c>
      <c r="E8">
        <v>-4.738183E-3</v>
      </c>
      <c r="F8">
        <v>0.33494200000000002</v>
      </c>
      <c r="G8">
        <v>0.32958500000000002</v>
      </c>
      <c r="H8">
        <v>-1.5994441000000002E-2</v>
      </c>
      <c r="I8">
        <v>2.9424325000000002E-3</v>
      </c>
      <c r="J8">
        <v>0.94358974360000003</v>
      </c>
      <c r="K8">
        <v>0</v>
      </c>
      <c r="M8" t="s">
        <v>15</v>
      </c>
      <c r="N8">
        <v>-1.5806</v>
      </c>
      <c r="O8">
        <v>-1.740159</v>
      </c>
      <c r="P8">
        <v>-0.159533432</v>
      </c>
      <c r="Q8">
        <v>0.34755399999999997</v>
      </c>
      <c r="R8">
        <v>0.34816200000000003</v>
      </c>
      <c r="S8">
        <v>1.7495415E-3</v>
      </c>
      <c r="T8">
        <v>0.100930543</v>
      </c>
      <c r="U8">
        <v>0.91874999999999996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-7.9230739999999997</v>
      </c>
      <c r="E9">
        <v>-7.8978710000000008E-3</v>
      </c>
      <c r="F9">
        <v>0.36948999999999999</v>
      </c>
      <c r="G9">
        <v>0.37928099999999998</v>
      </c>
      <c r="H9">
        <v>2.6498570799999999E-2</v>
      </c>
      <c r="I9">
        <v>9.9781380000000001E-4</v>
      </c>
      <c r="J9">
        <v>0.96102564099999999</v>
      </c>
      <c r="K9">
        <v>0</v>
      </c>
      <c r="M9" t="s">
        <v>16</v>
      </c>
      <c r="N9">
        <v>-7.7763999999999998</v>
      </c>
      <c r="O9">
        <v>-7.8359560000000004</v>
      </c>
      <c r="P9">
        <v>-5.9527495999999999E-2</v>
      </c>
      <c r="Q9">
        <v>0.40762900000000002</v>
      </c>
      <c r="R9">
        <v>0.42429099999999997</v>
      </c>
      <c r="S9">
        <v>4.08746844E-2</v>
      </c>
      <c r="T9">
        <v>7.6548626999999999E-3</v>
      </c>
      <c r="U9">
        <v>0.95729166669999999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5.871232</v>
      </c>
      <c r="E10">
        <v>3.0929070999999998E-3</v>
      </c>
      <c r="F10">
        <v>2.2978999999999999E-2</v>
      </c>
      <c r="G10">
        <v>2.3377999999999999E-2</v>
      </c>
      <c r="H10">
        <v>1.73723704E-2</v>
      </c>
      <c r="I10">
        <v>5.2706780000000004E-4</v>
      </c>
      <c r="J10">
        <v>0.95794871790000002</v>
      </c>
      <c r="K10">
        <v>0</v>
      </c>
      <c r="M10" t="s">
        <v>17</v>
      </c>
      <c r="N10">
        <v>5.8643999999999998</v>
      </c>
      <c r="O10">
        <v>5.857647</v>
      </c>
      <c r="P10">
        <v>-6.7637260000000003E-3</v>
      </c>
      <c r="Q10">
        <v>2.1228E-2</v>
      </c>
      <c r="R10">
        <v>2.1933999999999999E-2</v>
      </c>
      <c r="S10">
        <v>3.3258861299999998E-2</v>
      </c>
      <c r="T10">
        <v>-1.1533509999999999E-3</v>
      </c>
      <c r="U10">
        <v>0.95208333329999995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2.6945E-2</v>
      </c>
      <c r="E11">
        <v>-1.4710739999999999E-3</v>
      </c>
      <c r="F11">
        <v>1.6625000000000001E-2</v>
      </c>
      <c r="G11">
        <v>1.7082E-2</v>
      </c>
      <c r="H11">
        <v>2.7463662699999999E-2</v>
      </c>
      <c r="I11">
        <v>-5.1768274000000003E-2</v>
      </c>
      <c r="J11">
        <v>0.94666666669999999</v>
      </c>
      <c r="K11">
        <v>0</v>
      </c>
      <c r="M11" t="s">
        <v>18</v>
      </c>
      <c r="N11">
        <v>3.2099999999999997E-2</v>
      </c>
      <c r="O11">
        <v>4.0434999999999999E-2</v>
      </c>
      <c r="P11">
        <v>8.3263832000000006E-3</v>
      </c>
      <c r="Q11">
        <v>1.3842E-2</v>
      </c>
      <c r="R11">
        <v>1.5069000000000001E-2</v>
      </c>
      <c r="S11">
        <v>8.8673757399999997E-2</v>
      </c>
      <c r="T11">
        <v>0.25932108840000001</v>
      </c>
      <c r="U11">
        <v>0.93645833329999995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657</v>
      </c>
      <c r="J13" s="12" t="str">
        <f>INDEX('Method Codes'!$B:$B, MATCH(B13, 'Method Codes'!$I:$I,0))</f>
        <v>IND</v>
      </c>
      <c r="K13" s="12" t="str">
        <f>INDEX('Method Codes'!H:H, MATCH(B13, 'Method Codes'!I:I,0))</f>
        <v>2Q</v>
      </c>
      <c r="M13" s="1" t="s">
        <v>658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2Q</v>
      </c>
      <c r="X13" s="1" t="s">
        <v>659</v>
      </c>
      <c r="AI13" s="1" t="s">
        <v>660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110.026133</v>
      </c>
      <c r="E15">
        <v>2.9487246879</v>
      </c>
      <c r="F15">
        <v>1.490648</v>
      </c>
      <c r="G15">
        <v>1.4956499999999999</v>
      </c>
      <c r="H15">
        <v>3.3557440999999999E-3</v>
      </c>
      <c r="I15">
        <v>2.75382523E-2</v>
      </c>
      <c r="J15">
        <v>0.48199999999999998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111.010254</v>
      </c>
      <c r="P15">
        <v>4.1977971498000004</v>
      </c>
      <c r="Q15">
        <v>1.415408</v>
      </c>
      <c r="R15">
        <v>1.4084140000000001</v>
      </c>
      <c r="S15">
        <v>-4.9413469999999996E-3</v>
      </c>
      <c r="T15">
        <v>3.9300633000000001E-2</v>
      </c>
      <c r="U15">
        <v>0.15208333330000001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-4.8296340000000004</v>
      </c>
      <c r="E16">
        <v>-6.0992093999999997E-2</v>
      </c>
      <c r="F16">
        <v>0.57473300000000005</v>
      </c>
      <c r="G16">
        <v>0.55929799999999996</v>
      </c>
      <c r="H16">
        <v>-2.6856227E-2</v>
      </c>
      <c r="I16">
        <v>1.2790244799999999E-2</v>
      </c>
      <c r="J16">
        <v>0.94</v>
      </c>
      <c r="K16">
        <v>1</v>
      </c>
      <c r="M16" t="s">
        <v>13</v>
      </c>
      <c r="N16">
        <v>-4.7992999999999997</v>
      </c>
      <c r="O16">
        <v>-4.7788899999999996</v>
      </c>
      <c r="P16">
        <v>2.039214E-2</v>
      </c>
      <c r="Q16">
        <v>0.55900099999999997</v>
      </c>
      <c r="R16">
        <v>0.55979299999999999</v>
      </c>
      <c r="S16">
        <v>1.4173968999999999E-3</v>
      </c>
      <c r="T16">
        <v>-4.2489980000000004E-3</v>
      </c>
      <c r="U16">
        <v>0.94687500000000002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25">
      <c r="A17" s="14"/>
      <c r="B17" t="s">
        <v>14</v>
      </c>
      <c r="C17">
        <v>8.6966999999999999</v>
      </c>
      <c r="D17">
        <v>6.6429260000000001</v>
      </c>
      <c r="E17">
        <v>-2.0537727600000002</v>
      </c>
      <c r="F17">
        <v>0.332318</v>
      </c>
      <c r="G17">
        <v>0.33518300000000001</v>
      </c>
      <c r="H17">
        <v>8.6211827000000005E-3</v>
      </c>
      <c r="I17">
        <v>-0.23615544699999999</v>
      </c>
      <c r="J17">
        <v>0</v>
      </c>
      <c r="K17">
        <v>1</v>
      </c>
      <c r="M17" t="s">
        <v>14</v>
      </c>
      <c r="N17">
        <v>8.7021999999999995</v>
      </c>
      <c r="O17">
        <v>6.0807979999999997</v>
      </c>
      <c r="P17">
        <v>-2.621409576</v>
      </c>
      <c r="Q17">
        <v>0.34927799999999998</v>
      </c>
      <c r="R17">
        <v>0.35051500000000002</v>
      </c>
      <c r="S17">
        <v>3.5399462E-3</v>
      </c>
      <c r="T17">
        <v>-0.30123501699999999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-2.1389909999999999</v>
      </c>
      <c r="E18">
        <v>-0.52869661599999995</v>
      </c>
      <c r="F18">
        <v>0.37006499999999998</v>
      </c>
      <c r="G18">
        <v>0.36049700000000001</v>
      </c>
      <c r="H18">
        <v>-2.5854664999999999E-2</v>
      </c>
      <c r="I18">
        <v>0.32832292239999999</v>
      </c>
      <c r="J18">
        <v>0.68400000000000005</v>
      </c>
      <c r="K18">
        <v>1</v>
      </c>
      <c r="M18" t="s">
        <v>15</v>
      </c>
      <c r="N18">
        <v>-1.5806</v>
      </c>
      <c r="O18">
        <v>-2.4276409999999999</v>
      </c>
      <c r="P18">
        <v>-0.84701472200000005</v>
      </c>
      <c r="Q18">
        <v>0.355574</v>
      </c>
      <c r="R18">
        <v>0.34989199999999998</v>
      </c>
      <c r="S18">
        <v>-1.5979223000000001E-2</v>
      </c>
      <c r="T18">
        <v>0.53587298149999996</v>
      </c>
      <c r="U18">
        <v>0.33229166669999999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-6.0909839999999997</v>
      </c>
      <c r="E19">
        <v>1.8241912971000001</v>
      </c>
      <c r="F19">
        <v>0.40463900000000003</v>
      </c>
      <c r="G19">
        <v>0.42003699999999999</v>
      </c>
      <c r="H19">
        <v>3.8053953100000003E-2</v>
      </c>
      <c r="I19">
        <v>-0.23046757000000001</v>
      </c>
      <c r="J19">
        <v>6.0000000000000001E-3</v>
      </c>
      <c r="K19">
        <v>1</v>
      </c>
      <c r="M19" t="s">
        <v>16</v>
      </c>
      <c r="N19">
        <v>-7.7763999999999998</v>
      </c>
      <c r="O19">
        <v>-5.5637949999999998</v>
      </c>
      <c r="P19">
        <v>2.2126340088999998</v>
      </c>
      <c r="Q19">
        <v>0.42177900000000002</v>
      </c>
      <c r="R19">
        <v>0.437253</v>
      </c>
      <c r="S19">
        <v>3.6687794400000001E-2</v>
      </c>
      <c r="T19">
        <v>-0.284530858</v>
      </c>
      <c r="U19">
        <v>0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5.966577</v>
      </c>
      <c r="E20">
        <v>9.8438069500000003E-2</v>
      </c>
      <c r="F20">
        <v>3.0807999999999999E-2</v>
      </c>
      <c r="G20">
        <v>2.9779E-2</v>
      </c>
      <c r="H20">
        <v>-3.3390525999999997E-2</v>
      </c>
      <c r="I20">
        <v>1.67750064E-2</v>
      </c>
      <c r="J20">
        <v>9.5000000000000001E-2</v>
      </c>
      <c r="K20">
        <v>1</v>
      </c>
      <c r="M20" t="s">
        <v>17</v>
      </c>
      <c r="N20">
        <v>5.8643999999999998</v>
      </c>
      <c r="O20">
        <v>5.9283270000000003</v>
      </c>
      <c r="P20">
        <v>6.3916621600000001E-2</v>
      </c>
      <c r="Q20">
        <v>2.7258999999999999E-2</v>
      </c>
      <c r="R20">
        <v>2.6608E-2</v>
      </c>
      <c r="S20">
        <v>-2.3875309000000001E-2</v>
      </c>
      <c r="T20">
        <v>1.08990697E-2</v>
      </c>
      <c r="U20">
        <v>0.33124999999999999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2.6152999999999999E-2</v>
      </c>
      <c r="E21">
        <v>-2.2639729999999999E-3</v>
      </c>
      <c r="F21">
        <v>1.8304999999999998E-2</v>
      </c>
      <c r="G21">
        <v>1.8207000000000001E-2</v>
      </c>
      <c r="H21">
        <v>-5.376016E-3</v>
      </c>
      <c r="I21">
        <v>-7.9671017999999996E-2</v>
      </c>
      <c r="J21">
        <v>0.94299999999999995</v>
      </c>
      <c r="K21">
        <v>0.30599999999999999</v>
      </c>
      <c r="M21" t="s">
        <v>18</v>
      </c>
      <c r="N21">
        <v>3.2099999999999997E-2</v>
      </c>
      <c r="O21">
        <v>4.0050000000000002E-2</v>
      </c>
      <c r="P21">
        <v>7.9414693000000001E-3</v>
      </c>
      <c r="Q21">
        <v>1.5701E-2</v>
      </c>
      <c r="R21">
        <v>1.5519E-2</v>
      </c>
      <c r="S21">
        <v>-1.1551710999999999E-2</v>
      </c>
      <c r="T21">
        <v>0.2473331346</v>
      </c>
      <c r="U21">
        <v>0.91979166670000001</v>
      </c>
      <c r="V21">
        <v>0.73229166670000001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661</v>
      </c>
      <c r="M23" s="1" t="s">
        <v>662</v>
      </c>
      <c r="X23" s="1" t="s">
        <v>663</v>
      </c>
      <c r="AI23" s="1" t="s">
        <v>664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665</v>
      </c>
      <c r="J33" s="12" t="str">
        <f>INDEX('Method Codes'!$B:$B, MATCH(B33, 'Method Codes'!$I:$I,0))</f>
        <v>IND</v>
      </c>
      <c r="K33" s="12" t="str">
        <f>INDEX('Method Codes'!H:H, MATCH(B33, 'Method Codes'!I:I,0))</f>
        <v>3I</v>
      </c>
      <c r="M33" s="1" t="s">
        <v>666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3I</v>
      </c>
      <c r="X33" s="1" t="s">
        <v>667</v>
      </c>
      <c r="AI33" s="1" t="s">
        <v>668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106.933149</v>
      </c>
      <c r="E35">
        <v>-0.144259842</v>
      </c>
      <c r="F35">
        <v>2.2802829999999998</v>
      </c>
      <c r="G35">
        <v>2.3307099999999998</v>
      </c>
      <c r="H35">
        <v>2.2114536099999998E-2</v>
      </c>
      <c r="I35">
        <v>-1.3472479999999999E-3</v>
      </c>
      <c r="J35">
        <v>0.95833333330000003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106.499112</v>
      </c>
      <c r="P35">
        <v>-0.31334494200000002</v>
      </c>
      <c r="Q35">
        <v>2.5567129999999998</v>
      </c>
      <c r="R35">
        <v>2.5986129999999998</v>
      </c>
      <c r="S35">
        <v>1.6388090399999999E-2</v>
      </c>
      <c r="T35">
        <v>-2.9335989999999998E-3</v>
      </c>
      <c r="U35">
        <v>0.95416666670000005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25">
      <c r="A36" s="14"/>
      <c r="B36" t="s">
        <v>13</v>
      </c>
      <c r="C36">
        <v>-4.7686000000000002</v>
      </c>
      <c r="D36">
        <v>-4.8314170000000001</v>
      </c>
      <c r="E36">
        <v>-6.2775424999999996E-2</v>
      </c>
      <c r="F36">
        <v>0.89366699999999999</v>
      </c>
      <c r="G36">
        <v>0.89790499999999995</v>
      </c>
      <c r="H36">
        <v>4.7420574000000002E-3</v>
      </c>
      <c r="I36">
        <v>1.31642153E-2</v>
      </c>
      <c r="J36">
        <v>0.95104166670000001</v>
      </c>
      <c r="K36">
        <v>0</v>
      </c>
      <c r="M36" t="s">
        <v>13</v>
      </c>
      <c r="N36">
        <v>-4.7992999999999997</v>
      </c>
      <c r="O36">
        <v>-5.0320359999999997</v>
      </c>
      <c r="P36">
        <v>-0.23275431999999999</v>
      </c>
      <c r="Q36">
        <v>0.97651200000000005</v>
      </c>
      <c r="R36">
        <v>1.007242</v>
      </c>
      <c r="S36">
        <v>3.1469251400000002E-2</v>
      </c>
      <c r="T36">
        <v>4.8497738999999998E-2</v>
      </c>
      <c r="U36">
        <v>0.94583333329999997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8.6966999999999999</v>
      </c>
      <c r="D37">
        <v>8.7013780000000001</v>
      </c>
      <c r="E37">
        <v>4.67943E-3</v>
      </c>
      <c r="F37">
        <v>0.51088599999999995</v>
      </c>
      <c r="G37">
        <v>0.52332299999999998</v>
      </c>
      <c r="H37">
        <v>2.4345760000000001E-2</v>
      </c>
      <c r="I37">
        <v>5.3806969999999998E-4</v>
      </c>
      <c r="J37">
        <v>0.95416666670000005</v>
      </c>
      <c r="K37">
        <v>0</v>
      </c>
      <c r="M37" t="s">
        <v>14</v>
      </c>
      <c r="N37">
        <v>8.7021999999999995</v>
      </c>
      <c r="O37">
        <v>8.7261799999999994</v>
      </c>
      <c r="P37">
        <v>2.39731309E-2</v>
      </c>
      <c r="Q37">
        <v>0.573963</v>
      </c>
      <c r="R37">
        <v>0.59242399999999995</v>
      </c>
      <c r="S37">
        <v>3.2164750499999999E-2</v>
      </c>
      <c r="T37">
        <v>2.7548333E-3</v>
      </c>
      <c r="U37">
        <v>0.96145833329999997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25">
      <c r="A38" s="14"/>
      <c r="B38" t="s">
        <v>15</v>
      </c>
      <c r="C38">
        <v>-1.6103000000000001</v>
      </c>
      <c r="D38">
        <v>-1.651346</v>
      </c>
      <c r="E38">
        <v>-4.1051239000000003E-2</v>
      </c>
      <c r="F38">
        <v>0.62454100000000001</v>
      </c>
      <c r="G38">
        <v>0.61558299999999999</v>
      </c>
      <c r="H38">
        <v>-1.4343589E-2</v>
      </c>
      <c r="I38">
        <v>2.54929996E-2</v>
      </c>
      <c r="J38">
        <v>0.953125</v>
      </c>
      <c r="K38">
        <v>0</v>
      </c>
      <c r="M38" t="s">
        <v>15</v>
      </c>
      <c r="N38">
        <v>-1.5806</v>
      </c>
      <c r="O38">
        <v>-1.7070129999999999</v>
      </c>
      <c r="P38">
        <v>-0.126386733</v>
      </c>
      <c r="Q38">
        <v>0.70760400000000001</v>
      </c>
      <c r="R38">
        <v>0.69978799999999997</v>
      </c>
      <c r="S38">
        <v>-1.1045434E-2</v>
      </c>
      <c r="T38">
        <v>7.9959926900000006E-2</v>
      </c>
      <c r="U38">
        <v>0.95104166670000001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25">
      <c r="A39" s="14"/>
      <c r="B39" t="s">
        <v>16</v>
      </c>
      <c r="C39">
        <v>-7.9151999999999996</v>
      </c>
      <c r="D39">
        <v>-7.9422300000000003</v>
      </c>
      <c r="E39">
        <v>-2.7053937E-2</v>
      </c>
      <c r="F39">
        <v>0.63431199999999999</v>
      </c>
      <c r="G39">
        <v>0.65338300000000005</v>
      </c>
      <c r="H39">
        <v>3.00648702E-2</v>
      </c>
      <c r="I39">
        <v>3.4179830999999999E-3</v>
      </c>
      <c r="J39">
        <v>0.95625000000000004</v>
      </c>
      <c r="K39">
        <v>0</v>
      </c>
      <c r="M39" t="s">
        <v>16</v>
      </c>
      <c r="N39">
        <v>-7.7763999999999998</v>
      </c>
      <c r="O39">
        <v>-7.9106199999999998</v>
      </c>
      <c r="P39">
        <v>-0.134191386</v>
      </c>
      <c r="Q39">
        <v>0.71680100000000002</v>
      </c>
      <c r="R39">
        <v>0.74121700000000001</v>
      </c>
      <c r="S39">
        <v>3.4062150999999999E-2</v>
      </c>
      <c r="T39">
        <v>1.72561707E-2</v>
      </c>
      <c r="U39">
        <v>0.95833333330000003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25">
      <c r="A40" s="14"/>
      <c r="B40" t="s">
        <v>17</v>
      </c>
      <c r="C40">
        <v>5.8681000000000001</v>
      </c>
      <c r="D40">
        <v>5.8569760000000004</v>
      </c>
      <c r="E40">
        <v>-1.116286E-2</v>
      </c>
      <c r="F40">
        <v>4.2011E-2</v>
      </c>
      <c r="G40">
        <v>4.4445999999999999E-2</v>
      </c>
      <c r="H40">
        <v>5.7949364699999999E-2</v>
      </c>
      <c r="I40">
        <v>-1.9022830000000001E-3</v>
      </c>
      <c r="J40">
        <v>0.95729166669999999</v>
      </c>
      <c r="K40">
        <v>0</v>
      </c>
      <c r="M40" t="s">
        <v>17</v>
      </c>
      <c r="N40">
        <v>5.8643999999999998</v>
      </c>
      <c r="O40">
        <v>5.839575</v>
      </c>
      <c r="P40">
        <v>-2.4836057000000002E-2</v>
      </c>
      <c r="Q40">
        <v>4.3497000000000001E-2</v>
      </c>
      <c r="R40">
        <v>4.5622000000000003E-2</v>
      </c>
      <c r="S40">
        <v>4.8852524799999998E-2</v>
      </c>
      <c r="T40">
        <v>-4.2350469999999996E-3</v>
      </c>
      <c r="U40">
        <v>0.95416666670000005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25">
      <c r="A41" s="14"/>
      <c r="B41" t="s">
        <v>18</v>
      </c>
      <c r="C41">
        <v>2.8400000000000002E-2</v>
      </c>
      <c r="D41">
        <v>3.9648000000000003E-2</v>
      </c>
      <c r="E41">
        <v>1.1231680000000001E-2</v>
      </c>
      <c r="F41">
        <v>3.2513E-2</v>
      </c>
      <c r="G41">
        <v>3.4374000000000002E-2</v>
      </c>
      <c r="H41">
        <v>5.7248267999999998E-2</v>
      </c>
      <c r="I41">
        <v>0.39525170840000001</v>
      </c>
      <c r="J41">
        <v>0.95208333329999995</v>
      </c>
      <c r="K41">
        <v>0</v>
      </c>
      <c r="M41" t="s">
        <v>18</v>
      </c>
      <c r="N41">
        <v>3.2099999999999997E-2</v>
      </c>
      <c r="O41">
        <v>5.7153000000000002E-2</v>
      </c>
      <c r="P41">
        <v>2.5044775500000001E-2</v>
      </c>
      <c r="Q41">
        <v>3.3794999999999999E-2</v>
      </c>
      <c r="R41">
        <v>3.5561000000000002E-2</v>
      </c>
      <c r="S41">
        <v>5.2262745300000003E-2</v>
      </c>
      <c r="T41">
        <v>0.78000714930000004</v>
      </c>
      <c r="U41">
        <v>0.93020833329999997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669</v>
      </c>
      <c r="J43" s="12" t="str">
        <f>INDEX('Method Codes'!$B:$B, MATCH(B43, 'Method Codes'!$I:$I,0))</f>
        <v>IND</v>
      </c>
      <c r="K43" s="12" t="str">
        <f>INDEX('Method Codes'!H:H, MATCH(B43, 'Method Codes'!I:I,0))</f>
        <v>4Q</v>
      </c>
      <c r="M43" s="1" t="s">
        <v>670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4Q</v>
      </c>
      <c r="X43" s="1" t="s">
        <v>671</v>
      </c>
      <c r="AI43" s="1" t="s">
        <v>672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107.168993</v>
      </c>
      <c r="E45">
        <v>9.1584839599999995E-2</v>
      </c>
      <c r="F45">
        <v>2.0152209999999999</v>
      </c>
      <c r="G45">
        <v>2.0181469999999999</v>
      </c>
      <c r="H45">
        <v>1.4515134999999999E-3</v>
      </c>
      <c r="I45">
        <v>8.5531430000000002E-4</v>
      </c>
      <c r="J45">
        <v>0.95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106.614604</v>
      </c>
      <c r="P45">
        <v>-0.19785280699999999</v>
      </c>
      <c r="Q45">
        <v>2.2580260000000001</v>
      </c>
      <c r="R45">
        <v>2.2450190000000001</v>
      </c>
      <c r="S45">
        <v>-5.7604279999999997E-3</v>
      </c>
      <c r="T45">
        <v>-1.852338E-3</v>
      </c>
      <c r="U45">
        <v>0.95833333330000003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25">
      <c r="A46" s="14"/>
      <c r="B46" t="s">
        <v>13</v>
      </c>
      <c r="C46">
        <v>-4.7686000000000002</v>
      </c>
      <c r="D46">
        <v>-4.8324559999999996</v>
      </c>
      <c r="E46">
        <v>-6.3814488000000003E-2</v>
      </c>
      <c r="F46">
        <v>0.79541499999999998</v>
      </c>
      <c r="G46">
        <v>0.77774399999999999</v>
      </c>
      <c r="H46">
        <v>-2.2216565000000001E-2</v>
      </c>
      <c r="I46">
        <v>1.33821101E-2</v>
      </c>
      <c r="J46">
        <v>0.93958333329999999</v>
      </c>
      <c r="K46">
        <v>1</v>
      </c>
      <c r="M46" t="s">
        <v>13</v>
      </c>
      <c r="N46">
        <v>-4.7992999999999997</v>
      </c>
      <c r="O46">
        <v>-5.0392419999999998</v>
      </c>
      <c r="P46">
        <v>-0.239960596</v>
      </c>
      <c r="Q46">
        <v>0.87002400000000002</v>
      </c>
      <c r="R46">
        <v>0.868421</v>
      </c>
      <c r="S46">
        <v>-1.842261E-3</v>
      </c>
      <c r="T46">
        <v>4.9999271099999999E-2</v>
      </c>
      <c r="U46">
        <v>0.93958333329999999</v>
      </c>
      <c r="V46">
        <v>0.99895833329999995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25">
      <c r="A47" s="14"/>
      <c r="B47" t="s">
        <v>14</v>
      </c>
      <c r="C47">
        <v>8.6966999999999999</v>
      </c>
      <c r="D47">
        <v>8.6608269999999994</v>
      </c>
      <c r="E47">
        <v>-3.5871198E-2</v>
      </c>
      <c r="F47">
        <v>0.46065499999999998</v>
      </c>
      <c r="G47">
        <v>0.46814099999999997</v>
      </c>
      <c r="H47">
        <v>1.6251514799999998E-2</v>
      </c>
      <c r="I47">
        <v>-4.1246909999999998E-3</v>
      </c>
      <c r="J47">
        <v>0.95833333330000003</v>
      </c>
      <c r="K47">
        <v>1</v>
      </c>
      <c r="M47" t="s">
        <v>14</v>
      </c>
      <c r="N47">
        <v>8.7021999999999995</v>
      </c>
      <c r="O47">
        <v>8.6678139999999999</v>
      </c>
      <c r="P47">
        <v>-3.4393524000000002E-2</v>
      </c>
      <c r="Q47">
        <v>0.51243700000000003</v>
      </c>
      <c r="R47">
        <v>0.52835299999999996</v>
      </c>
      <c r="S47">
        <v>3.1059199900000001E-2</v>
      </c>
      <c r="T47">
        <v>-3.9522760000000002E-3</v>
      </c>
      <c r="U47">
        <v>0.95208333329999995</v>
      </c>
      <c r="V47">
        <v>1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25">
      <c r="A48" s="14"/>
      <c r="B48" t="s">
        <v>15</v>
      </c>
      <c r="C48">
        <v>-1.6103000000000001</v>
      </c>
      <c r="D48">
        <v>-1.606946</v>
      </c>
      <c r="E48">
        <v>3.3483342000000002E-3</v>
      </c>
      <c r="F48">
        <v>0.50178100000000003</v>
      </c>
      <c r="G48">
        <v>0.50012299999999998</v>
      </c>
      <c r="H48">
        <v>-3.3050290000000001E-3</v>
      </c>
      <c r="I48">
        <v>-2.0793299999999999E-3</v>
      </c>
      <c r="J48">
        <v>0.94791666669999997</v>
      </c>
      <c r="K48">
        <v>0.89895833329999997</v>
      </c>
      <c r="M48" t="s">
        <v>15</v>
      </c>
      <c r="N48">
        <v>-1.5806</v>
      </c>
      <c r="O48">
        <v>-1.6637439999999999</v>
      </c>
      <c r="P48">
        <v>-8.3117832000000003E-2</v>
      </c>
      <c r="Q48">
        <v>0.56795099999999998</v>
      </c>
      <c r="R48">
        <v>0.56925300000000001</v>
      </c>
      <c r="S48">
        <v>2.2925815999999999E-3</v>
      </c>
      <c r="T48">
        <v>5.2585391299999999E-2</v>
      </c>
      <c r="U48">
        <v>0.94687500000000002</v>
      </c>
      <c r="V48">
        <v>0.83125000000000004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25">
      <c r="A49" s="14"/>
      <c r="B49" t="s">
        <v>16</v>
      </c>
      <c r="C49">
        <v>-7.9151999999999996</v>
      </c>
      <c r="D49">
        <v>-7.8857150000000003</v>
      </c>
      <c r="E49">
        <v>2.9461027300000001E-2</v>
      </c>
      <c r="F49">
        <v>0.57469899999999996</v>
      </c>
      <c r="G49">
        <v>0.58732099999999998</v>
      </c>
      <c r="H49">
        <v>2.1961857500000001E-2</v>
      </c>
      <c r="I49">
        <v>-3.722094E-3</v>
      </c>
      <c r="J49">
        <v>0.95937499999999998</v>
      </c>
      <c r="K49">
        <v>1</v>
      </c>
      <c r="M49" t="s">
        <v>16</v>
      </c>
      <c r="N49">
        <v>-7.7763999999999998</v>
      </c>
      <c r="O49">
        <v>-7.8513630000000001</v>
      </c>
      <c r="P49">
        <v>-7.4933828999999993E-2</v>
      </c>
      <c r="Q49">
        <v>0.64424999999999999</v>
      </c>
      <c r="R49">
        <v>0.66308999999999996</v>
      </c>
      <c r="S49">
        <v>2.9242080600000001E-2</v>
      </c>
      <c r="T49">
        <v>9.6360204000000005E-3</v>
      </c>
      <c r="U49">
        <v>0.96041666670000003</v>
      </c>
      <c r="V49">
        <v>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25">
      <c r="A50" s="14"/>
      <c r="B50" t="s">
        <v>17</v>
      </c>
      <c r="C50">
        <v>5.8681000000000001</v>
      </c>
      <c r="D50">
        <v>5.8681429999999999</v>
      </c>
      <c r="E50">
        <v>3.7586690999999998E-6</v>
      </c>
      <c r="F50">
        <v>3.3464000000000001E-2</v>
      </c>
      <c r="G50">
        <v>3.4611000000000003E-2</v>
      </c>
      <c r="H50">
        <v>3.4256279100000002E-2</v>
      </c>
      <c r="I50">
        <v>6.4052148999999997E-7</v>
      </c>
      <c r="J50">
        <v>0.95520833329999999</v>
      </c>
      <c r="K50">
        <v>1</v>
      </c>
      <c r="M50" t="s">
        <v>17</v>
      </c>
      <c r="N50">
        <v>5.8643999999999998</v>
      </c>
      <c r="O50">
        <v>5.845574</v>
      </c>
      <c r="P50">
        <v>-1.8836357000000001E-2</v>
      </c>
      <c r="Q50">
        <v>3.1784E-2</v>
      </c>
      <c r="R50">
        <v>3.2853E-2</v>
      </c>
      <c r="S50">
        <v>3.36498005E-2</v>
      </c>
      <c r="T50">
        <v>-3.2119779999999999E-3</v>
      </c>
      <c r="U50">
        <v>0.91666666669999997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25">
      <c r="A51" s="14"/>
      <c r="B51" t="s">
        <v>18</v>
      </c>
      <c r="C51">
        <v>2.8400000000000002E-2</v>
      </c>
      <c r="D51">
        <v>3.0495000000000001E-2</v>
      </c>
      <c r="E51">
        <v>2.0782168999999998E-3</v>
      </c>
      <c r="F51">
        <v>2.3599999999999999E-2</v>
      </c>
      <c r="G51">
        <v>2.3052E-2</v>
      </c>
      <c r="H51">
        <v>-2.3207933E-2</v>
      </c>
      <c r="I51">
        <v>7.3134098100000003E-2</v>
      </c>
      <c r="J51">
        <v>0.94791666669999997</v>
      </c>
      <c r="K51">
        <v>0.28749999999999998</v>
      </c>
      <c r="M51" t="s">
        <v>18</v>
      </c>
      <c r="N51">
        <v>3.2099999999999997E-2</v>
      </c>
      <c r="O51">
        <v>5.2117999999999998E-2</v>
      </c>
      <c r="P51">
        <v>2.0010037800000002E-2</v>
      </c>
      <c r="Q51">
        <v>2.0390999999999999E-2</v>
      </c>
      <c r="R51">
        <v>2.0079E-2</v>
      </c>
      <c r="S51">
        <v>-1.5321477E-2</v>
      </c>
      <c r="T51">
        <v>0.62320273169999996</v>
      </c>
      <c r="U51">
        <v>0.82499999999999996</v>
      </c>
      <c r="V51">
        <v>0.72916666669999997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45" customHeight="1" x14ac:dyDescent="0.25">
      <c r="A53" s="13" t="s">
        <v>97</v>
      </c>
      <c r="B53" s="1" t="s">
        <v>673</v>
      </c>
      <c r="J53" s="12" t="str">
        <f>INDEX('Method Codes'!$B:$B, MATCH(B53, 'Method Codes'!$I:$I,0))</f>
        <v>IND</v>
      </c>
      <c r="K53" s="12" t="str">
        <f>INDEX('Method Codes'!H:H, MATCH(B53, 'Method Codes'!I:I,0))</f>
        <v>5I</v>
      </c>
      <c r="M53" s="1" t="s">
        <v>674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5I</v>
      </c>
      <c r="X53" s="1" t="s">
        <v>675</v>
      </c>
      <c r="AI53" s="1" t="s">
        <v>676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104.015214</v>
      </c>
      <c r="E55">
        <v>-3.062194227</v>
      </c>
      <c r="F55">
        <v>1.3818569999999999</v>
      </c>
      <c r="G55">
        <v>1.457525</v>
      </c>
      <c r="H55">
        <v>5.4758037000000002E-2</v>
      </c>
      <c r="I55">
        <v>-2.8597949000000001E-2</v>
      </c>
      <c r="J55">
        <v>0.464625132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101.433297</v>
      </c>
      <c r="P55">
        <v>-5.3791597480000002</v>
      </c>
      <c r="Q55">
        <v>1.550646</v>
      </c>
      <c r="R55">
        <v>1.685708</v>
      </c>
      <c r="S55">
        <v>8.7100531699999997E-2</v>
      </c>
      <c r="T55">
        <v>-5.0360791000000002E-2</v>
      </c>
      <c r="U55">
        <v>9.0419806199999994E-2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25">
      <c r="A56" s="14"/>
      <c r="B56" t="s">
        <v>13</v>
      </c>
      <c r="C56">
        <v>-4.7686000000000002</v>
      </c>
      <c r="D56">
        <v>-4.8064140000000002</v>
      </c>
      <c r="E56">
        <v>-3.7771897999999998E-2</v>
      </c>
      <c r="F56">
        <v>0.52720199999999995</v>
      </c>
      <c r="G56">
        <v>0.55536700000000006</v>
      </c>
      <c r="H56">
        <v>5.3422964699999999E-2</v>
      </c>
      <c r="I56">
        <v>7.9208924000000007E-3</v>
      </c>
      <c r="J56">
        <v>0.95564941920000002</v>
      </c>
      <c r="K56">
        <v>0</v>
      </c>
      <c r="M56" t="s">
        <v>13</v>
      </c>
      <c r="N56">
        <v>-4.7992999999999997</v>
      </c>
      <c r="O56">
        <v>-5.0072970000000003</v>
      </c>
      <c r="P56">
        <v>-0.20801554899999999</v>
      </c>
      <c r="Q56">
        <v>0.56772299999999998</v>
      </c>
      <c r="R56">
        <v>0.62593900000000002</v>
      </c>
      <c r="S56">
        <v>0.10254330270000001</v>
      </c>
      <c r="T56">
        <v>4.3343057099999999E-2</v>
      </c>
      <c r="U56">
        <v>0.96124865449999997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25">
      <c r="A57" s="14"/>
      <c r="B57" t="s">
        <v>14</v>
      </c>
      <c r="C57">
        <v>8.6966999999999999</v>
      </c>
      <c r="D57">
        <v>10.660231</v>
      </c>
      <c r="E57">
        <v>1.9635318911999999</v>
      </c>
      <c r="F57">
        <v>0.329289</v>
      </c>
      <c r="G57">
        <v>0.32639200000000002</v>
      </c>
      <c r="H57">
        <v>-8.7970059999999996E-3</v>
      </c>
      <c r="I57">
        <v>0.22577899570000001</v>
      </c>
      <c r="J57">
        <v>0</v>
      </c>
      <c r="K57">
        <v>0</v>
      </c>
      <c r="M57" t="s">
        <v>14</v>
      </c>
      <c r="N57">
        <v>8.7021999999999995</v>
      </c>
      <c r="O57">
        <v>11.691841</v>
      </c>
      <c r="P57">
        <v>2.9896336692999999</v>
      </c>
      <c r="Q57">
        <v>0.38044899999999998</v>
      </c>
      <c r="R57">
        <v>0.364981</v>
      </c>
      <c r="S57">
        <v>-4.0658488E-2</v>
      </c>
      <c r="T57">
        <v>0.34354888919999998</v>
      </c>
      <c r="U57">
        <v>0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25">
      <c r="A58" s="14"/>
      <c r="B58" t="s">
        <v>15</v>
      </c>
      <c r="C58">
        <v>-1.6103000000000001</v>
      </c>
      <c r="D58">
        <v>-1.0258149999999999</v>
      </c>
      <c r="E58">
        <v>0.58447959670000005</v>
      </c>
      <c r="F58">
        <v>0.34093400000000001</v>
      </c>
      <c r="G58">
        <v>0.35371000000000002</v>
      </c>
      <c r="H58">
        <v>3.7474718999999997E-2</v>
      </c>
      <c r="I58">
        <v>-0.36296439899999999</v>
      </c>
      <c r="J58">
        <v>0.63252375920000004</v>
      </c>
      <c r="K58">
        <v>0</v>
      </c>
      <c r="M58" t="s">
        <v>15</v>
      </c>
      <c r="N58">
        <v>-1.5806</v>
      </c>
      <c r="O58">
        <v>-0.66772399999999998</v>
      </c>
      <c r="P58">
        <v>0.91290195590000001</v>
      </c>
      <c r="Q58">
        <v>0.38821499999999998</v>
      </c>
      <c r="R58">
        <v>0.41789500000000002</v>
      </c>
      <c r="S58">
        <v>7.6450477599999997E-2</v>
      </c>
      <c r="T58">
        <v>-0.57755724900000005</v>
      </c>
      <c r="U58">
        <v>0.42518837459999997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25">
      <c r="A59" s="14"/>
      <c r="B59" t="s">
        <v>16</v>
      </c>
      <c r="C59">
        <v>-7.9151999999999996</v>
      </c>
      <c r="D59">
        <v>-9.6137669999999993</v>
      </c>
      <c r="E59">
        <v>-1.6985914230000001</v>
      </c>
      <c r="F59">
        <v>0.38298100000000002</v>
      </c>
      <c r="G59">
        <v>0.39754699999999998</v>
      </c>
      <c r="H59">
        <v>3.8033580900000002E-2</v>
      </c>
      <c r="I59">
        <v>0.2145993343</v>
      </c>
      <c r="J59">
        <v>9.5036958999999994E-3</v>
      </c>
      <c r="K59">
        <v>0</v>
      </c>
      <c r="M59" t="s">
        <v>16</v>
      </c>
      <c r="N59">
        <v>-7.7763999999999998</v>
      </c>
      <c r="O59">
        <v>-10.396659</v>
      </c>
      <c r="P59">
        <v>-2.6202302720000001</v>
      </c>
      <c r="Q59">
        <v>0.43563400000000002</v>
      </c>
      <c r="R59">
        <v>0.44312699999999999</v>
      </c>
      <c r="S59">
        <v>1.7202005499999999E-2</v>
      </c>
      <c r="T59">
        <v>0.33694518140000002</v>
      </c>
      <c r="U59">
        <v>0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25">
      <c r="A60" s="14"/>
      <c r="B60" t="s">
        <v>17</v>
      </c>
      <c r="C60">
        <v>5.8681000000000001</v>
      </c>
      <c r="D60">
        <v>5.792103</v>
      </c>
      <c r="E60">
        <v>-7.6036431000000002E-2</v>
      </c>
      <c r="F60">
        <v>2.7310999999999998E-2</v>
      </c>
      <c r="G60">
        <v>2.7472E-2</v>
      </c>
      <c r="H60">
        <v>5.8965685000000002E-3</v>
      </c>
      <c r="I60">
        <v>-1.2957503E-2</v>
      </c>
      <c r="J60">
        <v>0.2291446674</v>
      </c>
      <c r="K60">
        <v>0</v>
      </c>
      <c r="M60" t="s">
        <v>17</v>
      </c>
      <c r="N60">
        <v>5.8643999999999998</v>
      </c>
      <c r="O60">
        <v>5.8165069999999996</v>
      </c>
      <c r="P60">
        <v>-4.7904146000000002E-2</v>
      </c>
      <c r="Q60">
        <v>2.3619000000000001E-2</v>
      </c>
      <c r="R60">
        <v>2.4813000000000002E-2</v>
      </c>
      <c r="S60">
        <v>5.0518045499999997E-2</v>
      </c>
      <c r="T60">
        <v>-8.1686199999999997E-3</v>
      </c>
      <c r="U60">
        <v>0.51883745960000005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25">
      <c r="A61" s="14"/>
      <c r="B61" t="s">
        <v>18</v>
      </c>
      <c r="C61">
        <v>2.8400000000000002E-2</v>
      </c>
      <c r="D61">
        <v>2.4421999999999999E-2</v>
      </c>
      <c r="E61">
        <v>-3.9940430000000001E-3</v>
      </c>
      <c r="F61">
        <v>1.7305999999999998E-2</v>
      </c>
      <c r="G61">
        <v>1.8605E-2</v>
      </c>
      <c r="H61">
        <v>7.5074264200000004E-2</v>
      </c>
      <c r="I61">
        <v>-0.14055353600000001</v>
      </c>
      <c r="J61">
        <v>0.96092925029999998</v>
      </c>
      <c r="K61">
        <v>0</v>
      </c>
      <c r="M61" t="s">
        <v>18</v>
      </c>
      <c r="N61">
        <v>3.2099999999999997E-2</v>
      </c>
      <c r="O61">
        <v>3.1512999999999999E-2</v>
      </c>
      <c r="P61">
        <v>-5.9520500000000002E-4</v>
      </c>
      <c r="Q61">
        <v>1.4818E-2</v>
      </c>
      <c r="R61">
        <v>1.6981E-2</v>
      </c>
      <c r="S61">
        <v>0.1459154194</v>
      </c>
      <c r="T61">
        <v>-1.8537366E-2</v>
      </c>
      <c r="U61">
        <v>0.98600645860000002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45" customHeight="1" x14ac:dyDescent="0.25">
      <c r="A63" s="13" t="s">
        <v>98</v>
      </c>
      <c r="B63" s="1" t="s">
        <v>677</v>
      </c>
      <c r="J63" s="12" t="str">
        <f>INDEX('Method Codes'!$B:$B, MATCH(B63, 'Method Codes'!$I:$I,0))</f>
        <v>IND</v>
      </c>
      <c r="K63" s="12" t="str">
        <f>INDEX('Method Codes'!H:H, MATCH(B63, 'Method Codes'!I:I,0))</f>
        <v>6Q</v>
      </c>
      <c r="M63" s="1" t="s">
        <v>678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6Q</v>
      </c>
      <c r="X63" s="1" t="s">
        <v>679</v>
      </c>
      <c r="AI63" s="1" t="s">
        <v>680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107.10290999999999</v>
      </c>
      <c r="E65">
        <v>2.55018352E-2</v>
      </c>
      <c r="F65">
        <v>1.5830500000000001</v>
      </c>
      <c r="G65">
        <v>1.594333</v>
      </c>
      <c r="H65">
        <v>7.1275775000000001E-3</v>
      </c>
      <c r="I65">
        <v>2.381626E-4</v>
      </c>
      <c r="J65">
        <v>0.94890510949999995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105.567131</v>
      </c>
      <c r="P65">
        <v>-1.245325821</v>
      </c>
      <c r="Q65">
        <v>1.7926679999999999</v>
      </c>
      <c r="R65">
        <v>1.7911410000000001</v>
      </c>
      <c r="S65">
        <v>-8.5163600000000002E-4</v>
      </c>
      <c r="T65">
        <v>-1.1658994000000001E-2</v>
      </c>
      <c r="U65">
        <v>0.89270386270000002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25">
      <c r="A66" s="14"/>
      <c r="B66" t="s">
        <v>13</v>
      </c>
      <c r="C66">
        <v>-4.7686000000000002</v>
      </c>
      <c r="D66">
        <v>-4.7689709999999996</v>
      </c>
      <c r="E66">
        <v>-3.2968299999999999E-4</v>
      </c>
      <c r="F66">
        <v>0.60289499999999996</v>
      </c>
      <c r="G66">
        <v>0.59368200000000004</v>
      </c>
      <c r="H66">
        <v>-1.5280815999999999E-2</v>
      </c>
      <c r="I66">
        <v>6.9135700000000003E-5</v>
      </c>
      <c r="J66">
        <v>0.94264859229999998</v>
      </c>
      <c r="K66">
        <v>1</v>
      </c>
      <c r="M66" t="s">
        <v>13</v>
      </c>
      <c r="N66">
        <v>-4.7992999999999997</v>
      </c>
      <c r="O66">
        <v>-4.926482</v>
      </c>
      <c r="P66">
        <v>-0.12720056299999999</v>
      </c>
      <c r="Q66">
        <v>0.63679699999999995</v>
      </c>
      <c r="R66">
        <v>0.65160499999999999</v>
      </c>
      <c r="S66">
        <v>2.3253310999999999E-2</v>
      </c>
      <c r="T66">
        <v>2.6504082599999999E-2</v>
      </c>
      <c r="U66">
        <v>0.95278969960000004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25">
      <c r="A67" s="14"/>
      <c r="B67" t="s">
        <v>14</v>
      </c>
      <c r="C67">
        <v>8.6966999999999999</v>
      </c>
      <c r="D67">
        <v>8.7094799999999992</v>
      </c>
      <c r="E67">
        <v>1.27817331E-2</v>
      </c>
      <c r="F67">
        <v>0.34533700000000001</v>
      </c>
      <c r="G67">
        <v>0.35626999999999998</v>
      </c>
      <c r="H67">
        <v>3.1658183499999999E-2</v>
      </c>
      <c r="I67">
        <v>1.4697224E-3</v>
      </c>
      <c r="J67">
        <v>0.95516162670000004</v>
      </c>
      <c r="K67">
        <v>1</v>
      </c>
      <c r="M67" t="s">
        <v>14</v>
      </c>
      <c r="N67">
        <v>8.7021999999999995</v>
      </c>
      <c r="O67">
        <v>9.1957419999999992</v>
      </c>
      <c r="P67">
        <v>0.49353450900000001</v>
      </c>
      <c r="Q67">
        <v>0.363566</v>
      </c>
      <c r="R67">
        <v>0.38341900000000001</v>
      </c>
      <c r="S67">
        <v>5.4604333099999999E-2</v>
      </c>
      <c r="T67">
        <v>5.6713715200000001E-2</v>
      </c>
      <c r="U67">
        <v>0.75965665240000002</v>
      </c>
      <c r="V67">
        <v>1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25">
      <c r="A68" s="14"/>
      <c r="B68" t="s">
        <v>15</v>
      </c>
      <c r="C68">
        <v>-1.6103000000000001</v>
      </c>
      <c r="D68">
        <v>-1.6101460000000001</v>
      </c>
      <c r="E68">
        <v>1.4865550000000001E-4</v>
      </c>
      <c r="F68">
        <v>0.38348500000000002</v>
      </c>
      <c r="G68">
        <v>0.38129400000000002</v>
      </c>
      <c r="H68">
        <v>-5.7124680000000001E-3</v>
      </c>
      <c r="I68">
        <v>-9.2316000000000002E-5</v>
      </c>
      <c r="J68">
        <v>0.95099061519999994</v>
      </c>
      <c r="K68">
        <v>0.98748696560000004</v>
      </c>
      <c r="M68" t="s">
        <v>15</v>
      </c>
      <c r="N68">
        <v>-1.5806</v>
      </c>
      <c r="O68">
        <v>-1.439311</v>
      </c>
      <c r="P68">
        <v>0.14131508749999999</v>
      </c>
      <c r="Q68">
        <v>0.43737199999999998</v>
      </c>
      <c r="R68">
        <v>0.43826700000000002</v>
      </c>
      <c r="S68">
        <v>2.0480159000000001E-3</v>
      </c>
      <c r="T68">
        <v>-8.9404511000000006E-2</v>
      </c>
      <c r="U68">
        <v>0.95064377680000001</v>
      </c>
      <c r="V68">
        <v>0.91094420600000003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25">
      <c r="A69" s="14"/>
      <c r="B69" t="s">
        <v>16</v>
      </c>
      <c r="C69">
        <v>-7.9151999999999996</v>
      </c>
      <c r="D69">
        <v>-7.9330309999999997</v>
      </c>
      <c r="E69">
        <v>-1.7855049000000001E-2</v>
      </c>
      <c r="F69">
        <v>0.427008</v>
      </c>
      <c r="G69">
        <v>0.44436700000000001</v>
      </c>
      <c r="H69">
        <v>4.0652943699999999E-2</v>
      </c>
      <c r="I69">
        <v>2.2557993999999999E-3</v>
      </c>
      <c r="J69">
        <v>0.96454640250000001</v>
      </c>
      <c r="K69">
        <v>1</v>
      </c>
      <c r="M69" t="s">
        <v>16</v>
      </c>
      <c r="N69">
        <v>-7.7763999999999998</v>
      </c>
      <c r="O69">
        <v>-8.2905920000000002</v>
      </c>
      <c r="P69">
        <v>-0.514162542</v>
      </c>
      <c r="Q69">
        <v>0.45889799999999997</v>
      </c>
      <c r="R69">
        <v>0.477101</v>
      </c>
      <c r="S69">
        <v>3.9666873800000002E-2</v>
      </c>
      <c r="T69">
        <v>6.6118078499999997E-2</v>
      </c>
      <c r="U69">
        <v>0.81545064379999999</v>
      </c>
      <c r="V69">
        <v>1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25">
      <c r="A70" s="14"/>
      <c r="B70" t="s">
        <v>17</v>
      </c>
      <c r="C70">
        <v>5.8681000000000001</v>
      </c>
      <c r="D70">
        <v>5.8694860000000002</v>
      </c>
      <c r="E70">
        <v>1.3472813E-3</v>
      </c>
      <c r="F70">
        <v>3.2754999999999999E-2</v>
      </c>
      <c r="G70">
        <v>3.3763000000000001E-2</v>
      </c>
      <c r="H70">
        <v>3.0800078599999999E-2</v>
      </c>
      <c r="I70">
        <v>2.2959259999999999E-4</v>
      </c>
      <c r="J70">
        <v>0.95516162670000004</v>
      </c>
      <c r="K70">
        <v>1</v>
      </c>
      <c r="M70" t="s">
        <v>17</v>
      </c>
      <c r="N70">
        <v>5.8643999999999998</v>
      </c>
      <c r="O70">
        <v>5.866962</v>
      </c>
      <c r="P70">
        <v>2.551228E-3</v>
      </c>
      <c r="Q70">
        <v>2.9503999999999999E-2</v>
      </c>
      <c r="R70">
        <v>3.0277999999999999E-2</v>
      </c>
      <c r="S70">
        <v>2.6214439400000001E-2</v>
      </c>
      <c r="T70">
        <v>4.3503569999999998E-4</v>
      </c>
      <c r="U70">
        <v>0.94635193129999995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25">
      <c r="A71" s="14"/>
      <c r="B71" t="s">
        <v>18</v>
      </c>
      <c r="C71">
        <v>2.8400000000000002E-2</v>
      </c>
      <c r="D71">
        <v>2.7678999999999999E-2</v>
      </c>
      <c r="E71">
        <v>-7.3746200000000004E-4</v>
      </c>
      <c r="F71">
        <v>1.9944E-2</v>
      </c>
      <c r="G71">
        <v>1.9578999999999999E-2</v>
      </c>
      <c r="H71">
        <v>-1.8296153999999999E-2</v>
      </c>
      <c r="I71">
        <v>-2.5951882999999999E-2</v>
      </c>
      <c r="J71">
        <v>0.94994786239999995</v>
      </c>
      <c r="K71">
        <v>0.29927007300000003</v>
      </c>
      <c r="M71" t="s">
        <v>18</v>
      </c>
      <c r="N71">
        <v>3.2099999999999997E-2</v>
      </c>
      <c r="O71">
        <v>3.7365000000000002E-2</v>
      </c>
      <c r="P71">
        <v>5.2570984999999997E-3</v>
      </c>
      <c r="Q71">
        <v>1.8098E-2</v>
      </c>
      <c r="R71">
        <v>1.8071E-2</v>
      </c>
      <c r="S71">
        <v>-1.502881E-3</v>
      </c>
      <c r="T71">
        <v>0.1637297341</v>
      </c>
      <c r="U71">
        <v>0.93991416309999998</v>
      </c>
      <c r="V71">
        <v>0.53969957079999997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903" priority="33" stopIfTrue="1" operator="between">
      <formula>0.9365</formula>
      <formula>0.9635</formula>
    </cfRule>
    <cfRule type="cellIs" dxfId="902" priority="34" stopIfTrue="1" operator="between">
      <formula>0</formula>
      <formula>1</formula>
    </cfRule>
    <cfRule type="cellIs" dxfId="901" priority="35" stopIfTrue="1" operator="between">
      <formula>0.8</formula>
      <formula>0.9</formula>
    </cfRule>
    <cfRule type="cellIs" dxfId="900" priority="36" stopIfTrue="1" operator="between">
      <formula>0</formula>
      <formula>0.8</formula>
    </cfRule>
  </conditionalFormatting>
  <conditionalFormatting sqref="J15:J21">
    <cfRule type="cellIs" dxfId="899" priority="27" stopIfTrue="1" operator="between">
      <formula>0.8</formula>
      <formula>0.9</formula>
    </cfRule>
    <cfRule type="cellIs" dxfId="898" priority="25" stopIfTrue="1" operator="between">
      <formula>0.9365</formula>
      <formula>0.9635</formula>
    </cfRule>
    <cfRule type="cellIs" dxfId="897" priority="26" stopIfTrue="1" operator="between">
      <formula>0</formula>
      <formula>1</formula>
    </cfRule>
    <cfRule type="cellIs" dxfId="896" priority="28" stopIfTrue="1" operator="between">
      <formula>0</formula>
      <formula>0.8</formula>
    </cfRule>
  </conditionalFormatting>
  <conditionalFormatting sqref="J25:J31">
    <cfRule type="cellIs" dxfId="895" priority="29" stopIfTrue="1" operator="between">
      <formula>0.95</formula>
      <formula>1</formula>
    </cfRule>
    <cfRule type="cellIs" dxfId="894" priority="31" stopIfTrue="1" operator="between">
      <formula>0.8</formula>
      <formula>0.9</formula>
    </cfRule>
    <cfRule type="cellIs" dxfId="893" priority="32" stopIfTrue="1" operator="between">
      <formula>0</formula>
      <formula>0.8</formula>
    </cfRule>
    <cfRule type="cellIs" dxfId="892" priority="30" stopIfTrue="1" operator="between">
      <formula>0.9</formula>
      <formula>0.95</formula>
    </cfRule>
  </conditionalFormatting>
  <conditionalFormatting sqref="J35:J41">
    <cfRule type="cellIs" dxfId="891" priority="21" stopIfTrue="1" operator="between">
      <formula>0.9365</formula>
      <formula>0.9635</formula>
    </cfRule>
    <cfRule type="cellIs" dxfId="890" priority="22" stopIfTrue="1" operator="between">
      <formula>0</formula>
      <formula>1</formula>
    </cfRule>
    <cfRule type="cellIs" dxfId="889" priority="23" stopIfTrue="1" operator="between">
      <formula>0.8</formula>
      <formula>0.9</formula>
    </cfRule>
    <cfRule type="cellIs" dxfId="888" priority="24" stopIfTrue="1" operator="between">
      <formula>0</formula>
      <formula>0.8</formula>
    </cfRule>
  </conditionalFormatting>
  <conditionalFormatting sqref="J45:J51">
    <cfRule type="cellIs" dxfId="887" priority="19" stopIfTrue="1" operator="between">
      <formula>0.8</formula>
      <formula>0.9</formula>
    </cfRule>
    <cfRule type="cellIs" dxfId="886" priority="20" stopIfTrue="1" operator="between">
      <formula>0</formula>
      <formula>0.8</formula>
    </cfRule>
    <cfRule type="cellIs" dxfId="885" priority="17" stopIfTrue="1" operator="between">
      <formula>0.9365</formula>
      <formula>0.9635</formula>
    </cfRule>
    <cfRule type="cellIs" dxfId="884" priority="18" stopIfTrue="1" operator="between">
      <formula>0</formula>
      <formula>1</formula>
    </cfRule>
  </conditionalFormatting>
  <conditionalFormatting sqref="J55:J61">
    <cfRule type="cellIs" dxfId="883" priority="15" stopIfTrue="1" operator="between">
      <formula>0.8</formula>
      <formula>0.9</formula>
    </cfRule>
    <cfRule type="cellIs" dxfId="882" priority="13" stopIfTrue="1" operator="between">
      <formula>0.9365</formula>
      <formula>0.9635</formula>
    </cfRule>
    <cfRule type="cellIs" dxfId="881" priority="14" stopIfTrue="1" operator="between">
      <formula>0</formula>
      <formula>1</formula>
    </cfRule>
    <cfRule type="cellIs" dxfId="880" priority="16" stopIfTrue="1" operator="between">
      <formula>0</formula>
      <formula>0.8</formula>
    </cfRule>
  </conditionalFormatting>
  <conditionalFormatting sqref="J65:J71">
    <cfRule type="cellIs" dxfId="879" priority="10" stopIfTrue="1" operator="between">
      <formula>0</formula>
      <formula>1</formula>
    </cfRule>
    <cfRule type="cellIs" dxfId="878" priority="11" stopIfTrue="1" operator="between">
      <formula>0.8</formula>
      <formula>0.9</formula>
    </cfRule>
    <cfRule type="cellIs" dxfId="877" priority="12" stopIfTrue="1" operator="between">
      <formula>0</formula>
      <formula>0.8</formula>
    </cfRule>
    <cfRule type="cellIs" dxfId="876" priority="9" stopIfTrue="1" operator="between">
      <formula>0.9365</formula>
      <formula>0.9635</formula>
    </cfRule>
  </conditionalFormatting>
  <conditionalFormatting sqref="U5:U11">
    <cfRule type="cellIs" dxfId="875" priority="53" stopIfTrue="1" operator="between">
      <formula>0.9365</formula>
      <formula>0.9635</formula>
    </cfRule>
    <cfRule type="cellIs" dxfId="874" priority="54" stopIfTrue="1" operator="between">
      <formula>0</formula>
      <formula>1</formula>
    </cfRule>
    <cfRule type="cellIs" dxfId="873" priority="55" stopIfTrue="1" operator="between">
      <formula>0.8</formula>
      <formula>0.9</formula>
    </cfRule>
    <cfRule type="cellIs" dxfId="872" priority="56" stopIfTrue="1" operator="between">
      <formula>0</formula>
      <formula>0.8</formula>
    </cfRule>
  </conditionalFormatting>
  <conditionalFormatting sqref="U15:U21">
    <cfRule type="cellIs" dxfId="871" priority="48" stopIfTrue="1" operator="between">
      <formula>0</formula>
      <formula>0.8</formula>
    </cfRule>
    <cfRule type="cellIs" dxfId="870" priority="47" stopIfTrue="1" operator="between">
      <formula>0.8</formula>
      <formula>0.9</formula>
    </cfRule>
    <cfRule type="cellIs" dxfId="869" priority="46" stopIfTrue="1" operator="between">
      <formula>0</formula>
      <formula>1</formula>
    </cfRule>
    <cfRule type="cellIs" dxfId="868" priority="45" stopIfTrue="1" operator="between">
      <formula>0.9365</formula>
      <formula>0.9635</formula>
    </cfRule>
  </conditionalFormatting>
  <conditionalFormatting sqref="U25:U31">
    <cfRule type="cellIs" dxfId="867" priority="49" stopIfTrue="1" operator="between">
      <formula>0.95</formula>
      <formula>1</formula>
    </cfRule>
    <cfRule type="cellIs" dxfId="866" priority="51" stopIfTrue="1" operator="between">
      <formula>0.8</formula>
      <formula>0.9</formula>
    </cfRule>
    <cfRule type="cellIs" dxfId="865" priority="50" stopIfTrue="1" operator="between">
      <formula>0.9</formula>
      <formula>0.95</formula>
    </cfRule>
    <cfRule type="cellIs" dxfId="864" priority="52" stopIfTrue="1" operator="between">
      <formula>0</formula>
      <formula>0.8</formula>
    </cfRule>
  </conditionalFormatting>
  <conditionalFormatting sqref="U35:U41">
    <cfRule type="cellIs" dxfId="863" priority="42" stopIfTrue="1" operator="between">
      <formula>0</formula>
      <formula>1</formula>
    </cfRule>
    <cfRule type="cellIs" dxfId="862" priority="43" stopIfTrue="1" operator="between">
      <formula>0.8</formula>
      <formula>0.9</formula>
    </cfRule>
    <cfRule type="cellIs" dxfId="861" priority="44" stopIfTrue="1" operator="between">
      <formula>0</formula>
      <formula>0.8</formula>
    </cfRule>
    <cfRule type="cellIs" dxfId="860" priority="41" stopIfTrue="1" operator="between">
      <formula>0.9365</formula>
      <formula>0.9635</formula>
    </cfRule>
  </conditionalFormatting>
  <conditionalFormatting sqref="U45:U51">
    <cfRule type="cellIs" dxfId="859" priority="37" stopIfTrue="1" operator="between">
      <formula>0.9365</formula>
      <formula>0.9635</formula>
    </cfRule>
    <cfRule type="cellIs" dxfId="858" priority="38" stopIfTrue="1" operator="between">
      <formula>0</formula>
      <formula>1</formula>
    </cfRule>
    <cfRule type="cellIs" dxfId="857" priority="40" stopIfTrue="1" operator="between">
      <formula>0</formula>
      <formula>0.8</formula>
    </cfRule>
    <cfRule type="cellIs" dxfId="856" priority="39" stopIfTrue="1" operator="between">
      <formula>0.8</formula>
      <formula>0.9</formula>
    </cfRule>
  </conditionalFormatting>
  <conditionalFormatting sqref="U55:U61">
    <cfRule type="cellIs" dxfId="855" priority="2" stopIfTrue="1" operator="between">
      <formula>0</formula>
      <formula>1</formula>
    </cfRule>
    <cfRule type="cellIs" dxfId="854" priority="3" stopIfTrue="1" operator="between">
      <formula>0.8</formula>
      <formula>0.9</formula>
    </cfRule>
    <cfRule type="cellIs" dxfId="853" priority="4" stopIfTrue="1" operator="between">
      <formula>0</formula>
      <formula>0.8</formula>
    </cfRule>
    <cfRule type="cellIs" dxfId="852" priority="1" stopIfTrue="1" operator="between">
      <formula>0.9365</formula>
      <formula>0.9635</formula>
    </cfRule>
  </conditionalFormatting>
  <conditionalFormatting sqref="U65:U71">
    <cfRule type="cellIs" dxfId="851" priority="5" stopIfTrue="1" operator="between">
      <formula>0.9365</formula>
      <formula>0.9635</formula>
    </cfRule>
    <cfRule type="cellIs" dxfId="850" priority="8" stopIfTrue="1" operator="between">
      <formula>0</formula>
      <formula>0.8</formula>
    </cfRule>
    <cfRule type="cellIs" dxfId="849" priority="7" stopIfTrue="1" operator="between">
      <formula>0.8</formula>
      <formula>0.9</formula>
    </cfRule>
    <cfRule type="cellIs" dxfId="848" priority="6" stopIfTrue="1" operator="between">
      <formula>0</formula>
      <formula>1</formula>
    </cfRule>
  </conditionalFormatting>
  <conditionalFormatting sqref="AF5:AF11">
    <cfRule type="cellIs" dxfId="847" priority="129" stopIfTrue="1" operator="between">
      <formula>0.9365</formula>
      <formula>0.9635</formula>
    </cfRule>
    <cfRule type="cellIs" dxfId="846" priority="130" stopIfTrue="1" operator="between">
      <formula>0.9095</formula>
      <formula>0.9905</formula>
    </cfRule>
    <cfRule type="cellIs" dxfId="845" priority="131" stopIfTrue="1" operator="between">
      <formula>0</formula>
      <formula>1</formula>
    </cfRule>
    <cfRule type="cellIs" dxfId="844" priority="132" stopIfTrue="1" operator="between">
      <formula>0</formula>
      <formula>0.8</formula>
    </cfRule>
  </conditionalFormatting>
  <conditionalFormatting sqref="AF15:AF21">
    <cfRule type="cellIs" dxfId="843" priority="133" stopIfTrue="1" operator="between">
      <formula>0.9365</formula>
      <formula>0.9635</formula>
    </cfRule>
    <cfRule type="cellIs" dxfId="842" priority="134" stopIfTrue="1" operator="between">
      <formula>0.9095</formula>
      <formula>0.9905</formula>
    </cfRule>
    <cfRule type="cellIs" dxfId="841" priority="135" stopIfTrue="1" operator="between">
      <formula>0</formula>
      <formula>1</formula>
    </cfRule>
    <cfRule type="cellIs" dxfId="840" priority="136" stopIfTrue="1" operator="between">
      <formula>0</formula>
      <formula>0.8</formula>
    </cfRule>
  </conditionalFormatting>
  <conditionalFormatting sqref="AF25:AF31">
    <cfRule type="cellIs" dxfId="839" priority="168" stopIfTrue="1" operator="between">
      <formula>0</formula>
      <formula>0.8</formula>
    </cfRule>
    <cfRule type="cellIs" dxfId="838" priority="165" stopIfTrue="1" operator="between">
      <formula>0.95</formula>
      <formula>1</formula>
    </cfRule>
    <cfRule type="cellIs" dxfId="837" priority="166" stopIfTrue="1" operator="between">
      <formula>0.9</formula>
      <formula>0.95</formula>
    </cfRule>
    <cfRule type="cellIs" dxfId="836" priority="167" stopIfTrue="1" operator="between">
      <formula>0.8</formula>
      <formula>0.9</formula>
    </cfRule>
  </conditionalFormatting>
  <conditionalFormatting sqref="AF35:AF41">
    <cfRule type="cellIs" dxfId="835" priority="140" stopIfTrue="1" operator="between">
      <formula>0</formula>
      <formula>0.8</formula>
    </cfRule>
    <cfRule type="cellIs" dxfId="834" priority="137" stopIfTrue="1" operator="between">
      <formula>0.9365</formula>
      <formula>0.9635</formula>
    </cfRule>
    <cfRule type="cellIs" dxfId="833" priority="138" stopIfTrue="1" operator="between">
      <formula>0.9095</formula>
      <formula>0.9905</formula>
    </cfRule>
    <cfRule type="cellIs" dxfId="832" priority="139" stopIfTrue="1" operator="between">
      <formula>0</formula>
      <formula>1</formula>
    </cfRule>
  </conditionalFormatting>
  <conditionalFormatting sqref="AF45:AF51">
    <cfRule type="cellIs" dxfId="831" priority="141" stopIfTrue="1" operator="between">
      <formula>0.9365</formula>
      <formula>0.9635</formula>
    </cfRule>
    <cfRule type="cellIs" dxfId="830" priority="142" stopIfTrue="1" operator="between">
      <formula>0.9095</formula>
      <formula>0.9905</formula>
    </cfRule>
    <cfRule type="cellIs" dxfId="829" priority="143" stopIfTrue="1" operator="between">
      <formula>0</formula>
      <formula>1</formula>
    </cfRule>
    <cfRule type="cellIs" dxfId="828" priority="144" stopIfTrue="1" operator="between">
      <formula>0</formula>
      <formula>0.8</formula>
    </cfRule>
  </conditionalFormatting>
  <conditionalFormatting sqref="AF55:AF61">
    <cfRule type="cellIs" dxfId="827" priority="157" stopIfTrue="1" operator="between">
      <formula>0.9365</formula>
      <formula>0.9635</formula>
    </cfRule>
    <cfRule type="cellIs" dxfId="826" priority="158" stopIfTrue="1" operator="between">
      <formula>0.9095</formula>
      <formula>0.9905</formula>
    </cfRule>
    <cfRule type="cellIs" dxfId="825" priority="159" stopIfTrue="1" operator="between">
      <formula>0</formula>
      <formula>1</formula>
    </cfRule>
    <cfRule type="cellIs" dxfId="824" priority="160" stopIfTrue="1" operator="between">
      <formula>0</formula>
      <formula>0.8</formula>
    </cfRule>
  </conditionalFormatting>
  <conditionalFormatting sqref="AF65:AF71">
    <cfRule type="cellIs" dxfId="823" priority="154" stopIfTrue="1" operator="between">
      <formula>0.9095</formula>
      <formula>0.9905</formula>
    </cfRule>
    <cfRule type="cellIs" dxfId="822" priority="153" stopIfTrue="1" operator="between">
      <formula>0.9365</formula>
      <formula>0.9635</formula>
    </cfRule>
    <cfRule type="cellIs" dxfId="821" priority="156" stopIfTrue="1" operator="between">
      <formula>0</formula>
      <formula>0.8</formula>
    </cfRule>
    <cfRule type="cellIs" dxfId="820" priority="155" stopIfTrue="1" operator="between">
      <formula>0</formula>
      <formula>1</formula>
    </cfRule>
  </conditionalFormatting>
  <conditionalFormatting sqref="AQ5:AQ11">
    <cfRule type="cellIs" dxfId="819" priority="127" stopIfTrue="1" operator="between">
      <formula>0</formula>
      <formula>1</formula>
    </cfRule>
    <cfRule type="cellIs" dxfId="818" priority="125" stopIfTrue="1" operator="between">
      <formula>0.9365</formula>
      <formula>0.9635</formula>
    </cfRule>
    <cfRule type="cellIs" dxfId="817" priority="126" stopIfTrue="1" operator="between">
      <formula>0.9095</formula>
      <formula>0.9905</formula>
    </cfRule>
    <cfRule type="cellIs" dxfId="816" priority="128" stopIfTrue="1" operator="between">
      <formula>0</formula>
      <formula>0.8</formula>
    </cfRule>
  </conditionalFormatting>
  <conditionalFormatting sqref="AQ15:AQ21">
    <cfRule type="cellIs" dxfId="815" priority="121" stopIfTrue="1" operator="between">
      <formula>0.9365</formula>
      <formula>0.9635</formula>
    </cfRule>
    <cfRule type="cellIs" dxfId="814" priority="122" stopIfTrue="1" operator="between">
      <formula>0.9095</formula>
      <formula>0.9905</formula>
    </cfRule>
    <cfRule type="cellIs" dxfId="813" priority="123" stopIfTrue="1" operator="between">
      <formula>0</formula>
      <formula>1</formula>
    </cfRule>
    <cfRule type="cellIs" dxfId="812" priority="124" stopIfTrue="1" operator="between">
      <formula>0</formula>
      <formula>0.8</formula>
    </cfRule>
  </conditionalFormatting>
  <conditionalFormatting sqref="AQ25:AQ31">
    <cfRule type="cellIs" dxfId="811" priority="161" stopIfTrue="1" operator="between">
      <formula>0.95</formula>
      <formula>1</formula>
    </cfRule>
    <cfRule type="cellIs" dxfId="810" priority="162" stopIfTrue="1" operator="between">
      <formula>0.9</formula>
      <formula>0.95</formula>
    </cfRule>
    <cfRule type="cellIs" dxfId="809" priority="163" stopIfTrue="1" operator="between">
      <formula>0.8</formula>
      <formula>0.9</formula>
    </cfRule>
    <cfRule type="cellIs" dxfId="808" priority="164" stopIfTrue="1" operator="between">
      <formula>0</formula>
      <formula>0.8</formula>
    </cfRule>
  </conditionalFormatting>
  <conditionalFormatting sqref="AQ35:AQ41">
    <cfRule type="cellIs" dxfId="807" priority="117" stopIfTrue="1" operator="between">
      <formula>0.9365</formula>
      <formula>0.9635</formula>
    </cfRule>
    <cfRule type="cellIs" dxfId="806" priority="118" stopIfTrue="1" operator="between">
      <formula>0.9095</formula>
      <formula>0.9905</formula>
    </cfRule>
    <cfRule type="cellIs" dxfId="805" priority="119" stopIfTrue="1" operator="between">
      <formula>0</formula>
      <formula>1</formula>
    </cfRule>
    <cfRule type="cellIs" dxfId="804" priority="120" stopIfTrue="1" operator="between">
      <formula>0</formula>
      <formula>0.8</formula>
    </cfRule>
  </conditionalFormatting>
  <conditionalFormatting sqref="AQ45:AQ51">
    <cfRule type="cellIs" dxfId="803" priority="116" stopIfTrue="1" operator="between">
      <formula>0</formula>
      <formula>0.8</formula>
    </cfRule>
    <cfRule type="cellIs" dxfId="802" priority="114" stopIfTrue="1" operator="between">
      <formula>0.9095</formula>
      <formula>0.9905</formula>
    </cfRule>
    <cfRule type="cellIs" dxfId="801" priority="113" stopIfTrue="1" operator="between">
      <formula>0.9365</formula>
      <formula>0.9635</formula>
    </cfRule>
    <cfRule type="cellIs" dxfId="800" priority="115" stopIfTrue="1" operator="between">
      <formula>0</formula>
      <formula>1</formula>
    </cfRule>
  </conditionalFormatting>
  <conditionalFormatting sqref="AQ55:AQ61">
    <cfRule type="cellIs" dxfId="799" priority="150" stopIfTrue="1" operator="between">
      <formula>0.9095</formula>
      <formula>0.9905</formula>
    </cfRule>
    <cfRule type="cellIs" dxfId="798" priority="151" stopIfTrue="1" operator="between">
      <formula>0</formula>
      <formula>1</formula>
    </cfRule>
    <cfRule type="cellIs" dxfId="797" priority="152" stopIfTrue="1" operator="between">
      <formula>0</formula>
      <formula>0.8</formula>
    </cfRule>
    <cfRule type="cellIs" dxfId="796" priority="149" stopIfTrue="1" operator="between">
      <formula>0.9365</formula>
      <formula>0.9635</formula>
    </cfRule>
  </conditionalFormatting>
  <conditionalFormatting sqref="AQ65:AQ71">
    <cfRule type="cellIs" dxfId="795" priority="147" stopIfTrue="1" operator="between">
      <formula>0</formula>
      <formula>1</formula>
    </cfRule>
    <cfRule type="cellIs" dxfId="794" priority="146" stopIfTrue="1" operator="between">
      <formula>0.9095</formula>
      <formula>0.9905</formula>
    </cfRule>
    <cfRule type="cellIs" dxfId="793" priority="145" stopIfTrue="1" operator="between">
      <formula>0.9365</formula>
      <formula>0.9635</formula>
    </cfRule>
    <cfRule type="cellIs" dxfId="792" priority="14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167E-2FEC-4CAB-9B1B-10C153010EBC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x14ac:dyDescent="0.25">
      <c r="A3" s="14" t="s">
        <v>67</v>
      </c>
      <c r="B3" s="1" t="s">
        <v>434</v>
      </c>
      <c r="J3" s="12" t="str">
        <f>INDEX('Method Codes'!$B:$B, MATCH(B3, 'Method Codes'!$I:$I,0))</f>
        <v>IND</v>
      </c>
      <c r="K3" s="12" t="str">
        <f>INDEX('Method Codes'!$H:$H, MATCH(B3, 'Method Codes'!$I:$I,0))</f>
        <v>1B</v>
      </c>
      <c r="M3" s="1" t="s">
        <v>500</v>
      </c>
      <c r="U3" s="12" t="str">
        <f>INDEX('Method Codes'!$B:$B, MATCH(M3, 'Method Codes'!$I:$I,0))</f>
        <v>EXCH</v>
      </c>
      <c r="V3" s="12" t="str">
        <f>INDEX('Method Codes'!$H:$H, MATCH(M3, 'Method Codes'!$I:$I,0))</f>
        <v>1B</v>
      </c>
      <c r="X3" s="1" t="s">
        <v>132</v>
      </c>
      <c r="AI3" s="1" t="s">
        <v>133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107.01070900000001</v>
      </c>
      <c r="E5">
        <v>-6.6699349000000005E-2</v>
      </c>
      <c r="F5">
        <v>1.362779</v>
      </c>
      <c r="G5">
        <v>1.3618619999999999</v>
      </c>
      <c r="H5">
        <v>-6.7302699999999998E-4</v>
      </c>
      <c r="I5">
        <v>-6.2290800000000003E-4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107.156908</v>
      </c>
      <c r="P5">
        <v>0.34445169819999999</v>
      </c>
      <c r="Q5">
        <v>1.393354</v>
      </c>
      <c r="R5">
        <v>1.397678</v>
      </c>
      <c r="S5">
        <v>3.1036480000000001E-3</v>
      </c>
      <c r="T5">
        <v>3.224827E-3</v>
      </c>
      <c r="U5">
        <v>0.94199999999999995</v>
      </c>
      <c r="V5">
        <v>0</v>
      </c>
      <c r="X5" t="s">
        <v>12</v>
      </c>
      <c r="Y5">
        <v>107.08</v>
      </c>
      <c r="Z5">
        <v>107.050433</v>
      </c>
      <c r="AA5">
        <v>-2.6974999999999999E-2</v>
      </c>
      <c r="AB5">
        <v>-2.52E-4</v>
      </c>
      <c r="AC5">
        <v>1.353931</v>
      </c>
      <c r="AD5">
        <v>1.35972</v>
      </c>
      <c r="AE5">
        <v>4.2750000000000002E-3</v>
      </c>
      <c r="AF5">
        <v>0.95299999999999996</v>
      </c>
      <c r="AG5">
        <v>0</v>
      </c>
      <c r="AI5" t="s">
        <v>12</v>
      </c>
      <c r="AJ5">
        <v>106.81</v>
      </c>
      <c r="AK5">
        <v>107.16010300000001</v>
      </c>
      <c r="AL5">
        <v>0.34765000000000001</v>
      </c>
      <c r="AM5">
        <v>3.2499999999999999E-3</v>
      </c>
      <c r="AN5">
        <v>1.379087</v>
      </c>
      <c r="AO5">
        <v>1.3957040000000001</v>
      </c>
      <c r="AP5">
        <v>1.205E-2</v>
      </c>
      <c r="AQ5">
        <v>0.94499999999999995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-4.7304399999999998</v>
      </c>
      <c r="E6">
        <v>3.8201854899999999E-2</v>
      </c>
      <c r="F6">
        <v>0.51760499999999998</v>
      </c>
      <c r="G6">
        <v>0.52352699999999996</v>
      </c>
      <c r="H6">
        <v>1.1440879100000001E-2</v>
      </c>
      <c r="I6">
        <v>-8.0110560000000008E-3</v>
      </c>
      <c r="J6">
        <v>0.95</v>
      </c>
      <c r="K6">
        <v>0</v>
      </c>
      <c r="M6" t="s">
        <v>13</v>
      </c>
      <c r="N6">
        <v>-4.7992999999999997</v>
      </c>
      <c r="O6">
        <v>-4.7019270000000004</v>
      </c>
      <c r="P6">
        <v>9.7355070500000002E-2</v>
      </c>
      <c r="Q6">
        <v>0.54219399999999995</v>
      </c>
      <c r="R6">
        <v>0.56430899999999995</v>
      </c>
      <c r="S6">
        <v>4.0786964500000002E-2</v>
      </c>
      <c r="T6">
        <v>-2.0285340999999998E-2</v>
      </c>
      <c r="U6">
        <v>0.95499999999999996</v>
      </c>
      <c r="V6">
        <v>0</v>
      </c>
      <c r="X6" t="s">
        <v>13</v>
      </c>
      <c r="Y6">
        <v>-4.7699999999999996</v>
      </c>
      <c r="Z6">
        <v>-4.6995680000000002</v>
      </c>
      <c r="AA6">
        <v>6.9073999999999997E-2</v>
      </c>
      <c r="AB6">
        <v>-1.4485E-2</v>
      </c>
      <c r="AC6">
        <v>0.53510599999999997</v>
      </c>
      <c r="AD6">
        <v>0.52312899999999996</v>
      </c>
      <c r="AE6">
        <v>-2.2381999999999999E-2</v>
      </c>
      <c r="AF6">
        <v>0.94199999999999995</v>
      </c>
      <c r="AG6">
        <v>0</v>
      </c>
      <c r="AI6" t="s">
        <v>13</v>
      </c>
      <c r="AJ6">
        <v>-4.8</v>
      </c>
      <c r="AK6">
        <v>-4.6768210000000003</v>
      </c>
      <c r="AL6">
        <v>0.12246</v>
      </c>
      <c r="AM6">
        <v>-2.5520000000000001E-2</v>
      </c>
      <c r="AN6">
        <v>0.57495200000000002</v>
      </c>
      <c r="AO6">
        <v>0.56489999999999996</v>
      </c>
      <c r="AP6">
        <v>-1.7479999999999999E-2</v>
      </c>
      <c r="AQ6">
        <v>0.93899999999999995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8.7002649999999999</v>
      </c>
      <c r="E7">
        <v>3.5659607000000002E-3</v>
      </c>
      <c r="F7">
        <v>0.30640200000000001</v>
      </c>
      <c r="G7">
        <v>0.30604199999999998</v>
      </c>
      <c r="H7">
        <v>-1.175447E-3</v>
      </c>
      <c r="I7">
        <v>4.100361E-4</v>
      </c>
      <c r="J7">
        <v>0.95</v>
      </c>
      <c r="K7">
        <v>0</v>
      </c>
      <c r="M7" t="s">
        <v>14</v>
      </c>
      <c r="N7">
        <v>8.7021999999999995</v>
      </c>
      <c r="O7">
        <v>8.6989680000000007</v>
      </c>
      <c r="P7">
        <v>-3.2393159999999999E-3</v>
      </c>
      <c r="Q7">
        <v>0.34190399999999999</v>
      </c>
      <c r="R7">
        <v>0.34335300000000002</v>
      </c>
      <c r="S7">
        <v>4.2391175000000003E-3</v>
      </c>
      <c r="T7">
        <v>-3.7224099999999999E-4</v>
      </c>
      <c r="U7">
        <v>0.94799999999999995</v>
      </c>
      <c r="V7">
        <v>0</v>
      </c>
      <c r="X7" t="s">
        <v>14</v>
      </c>
      <c r="Y7">
        <v>8.6999999999999993</v>
      </c>
      <c r="Z7">
        <v>8.6895589999999991</v>
      </c>
      <c r="AA7">
        <v>-7.1399999999999996E-3</v>
      </c>
      <c r="AB7">
        <v>-8.2100000000000001E-4</v>
      </c>
      <c r="AC7">
        <v>0.30317100000000002</v>
      </c>
      <c r="AD7">
        <v>0.305365</v>
      </c>
      <c r="AE7">
        <v>7.2370000000000004E-3</v>
      </c>
      <c r="AF7">
        <v>0.95299999999999996</v>
      </c>
      <c r="AG7">
        <v>0</v>
      </c>
      <c r="AI7" t="s">
        <v>14</v>
      </c>
      <c r="AJ7">
        <v>8.6999999999999993</v>
      </c>
      <c r="AK7">
        <v>8.7139190000000006</v>
      </c>
      <c r="AL7">
        <v>1.171E-2</v>
      </c>
      <c r="AM7">
        <v>1.3500000000000001E-3</v>
      </c>
      <c r="AN7">
        <v>0.33280199999999999</v>
      </c>
      <c r="AO7">
        <v>0.34269500000000003</v>
      </c>
      <c r="AP7">
        <v>2.9729999999999999E-2</v>
      </c>
      <c r="AQ7">
        <v>0.96399999999999997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-1.602649</v>
      </c>
      <c r="E8">
        <v>7.6459162999999997E-3</v>
      </c>
      <c r="F8">
        <v>0.33703699999999998</v>
      </c>
      <c r="G8">
        <v>0.32970300000000002</v>
      </c>
      <c r="H8">
        <v>-2.1762132999999999E-2</v>
      </c>
      <c r="I8">
        <v>-4.7481479999999998E-3</v>
      </c>
      <c r="J8">
        <v>0.94199999999999995</v>
      </c>
      <c r="K8">
        <v>0</v>
      </c>
      <c r="M8" t="s">
        <v>15</v>
      </c>
      <c r="N8">
        <v>-1.5806</v>
      </c>
      <c r="O8">
        <v>-1.730137</v>
      </c>
      <c r="P8">
        <v>-0.149511219</v>
      </c>
      <c r="Q8">
        <v>0.34936800000000001</v>
      </c>
      <c r="R8">
        <v>0.34859299999999999</v>
      </c>
      <c r="S8">
        <v>-2.2171629999999999E-3</v>
      </c>
      <c r="T8">
        <v>9.4589882299999997E-2</v>
      </c>
      <c r="U8">
        <v>0.92600000000000005</v>
      </c>
      <c r="V8">
        <v>0</v>
      </c>
      <c r="X8" t="s">
        <v>15</v>
      </c>
      <c r="Y8">
        <v>-1.61</v>
      </c>
      <c r="Z8">
        <v>-1.621912</v>
      </c>
      <c r="AA8">
        <v>-1.1617000000000001E-2</v>
      </c>
      <c r="AB8">
        <v>7.2139999999999999E-3</v>
      </c>
      <c r="AC8">
        <v>0.32793600000000001</v>
      </c>
      <c r="AD8">
        <v>0.32940900000000001</v>
      </c>
      <c r="AE8">
        <v>4.4910000000000002E-3</v>
      </c>
      <c r="AF8">
        <v>0.94499999999999995</v>
      </c>
      <c r="AG8">
        <v>0</v>
      </c>
      <c r="AI8" t="s">
        <v>15</v>
      </c>
      <c r="AJ8">
        <v>-1.58</v>
      </c>
      <c r="AK8">
        <v>-1.742923</v>
      </c>
      <c r="AL8">
        <v>-0.1623</v>
      </c>
      <c r="AM8">
        <v>0.10267999999999999</v>
      </c>
      <c r="AN8">
        <v>0.34737200000000001</v>
      </c>
      <c r="AO8">
        <v>0.34833500000000001</v>
      </c>
      <c r="AP8">
        <v>2.7699999999999999E-3</v>
      </c>
      <c r="AQ8">
        <v>0.92200000000000004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-7.9358380000000004</v>
      </c>
      <c r="E9">
        <v>-2.0662514E-2</v>
      </c>
      <c r="F9">
        <v>0.36816399999999999</v>
      </c>
      <c r="G9">
        <v>0.38000600000000001</v>
      </c>
      <c r="H9">
        <v>3.2166099599999998E-2</v>
      </c>
      <c r="I9">
        <v>2.6104934999999999E-3</v>
      </c>
      <c r="J9">
        <v>0.95899999999999996</v>
      </c>
      <c r="K9">
        <v>0</v>
      </c>
      <c r="M9" t="s">
        <v>16</v>
      </c>
      <c r="N9">
        <v>-7.7763999999999998</v>
      </c>
      <c r="O9">
        <v>-7.8474469999999998</v>
      </c>
      <c r="P9">
        <v>-7.1018275000000006E-2</v>
      </c>
      <c r="Q9">
        <v>0.40961500000000001</v>
      </c>
      <c r="R9">
        <v>0.42532300000000001</v>
      </c>
      <c r="S9">
        <v>3.83486122E-2</v>
      </c>
      <c r="T9">
        <v>9.1325047999999999E-3</v>
      </c>
      <c r="U9">
        <v>0.95399999999999996</v>
      </c>
      <c r="V9">
        <v>0</v>
      </c>
      <c r="X9" t="s">
        <v>16</v>
      </c>
      <c r="Y9">
        <v>-7.92</v>
      </c>
      <c r="Z9">
        <v>-7.9330550000000004</v>
      </c>
      <c r="AA9">
        <v>-1.788E-2</v>
      </c>
      <c r="AB9">
        <v>2.2590000000000002E-3</v>
      </c>
      <c r="AC9">
        <v>0.38780199999999998</v>
      </c>
      <c r="AD9">
        <v>0.380102</v>
      </c>
      <c r="AE9">
        <v>-1.9855999999999999E-2</v>
      </c>
      <c r="AF9">
        <v>0.94399999999999995</v>
      </c>
      <c r="AG9">
        <v>0</v>
      </c>
      <c r="AI9" t="s">
        <v>16</v>
      </c>
      <c r="AJ9">
        <v>-7.78</v>
      </c>
      <c r="AK9">
        <v>-7.8433479999999998</v>
      </c>
      <c r="AL9">
        <v>-6.6919999999999993E-2</v>
      </c>
      <c r="AM9">
        <v>8.6099999999999996E-3</v>
      </c>
      <c r="AN9">
        <v>0.439141</v>
      </c>
      <c r="AO9">
        <v>0.42503299999999999</v>
      </c>
      <c r="AP9">
        <v>-3.2129999999999999E-2</v>
      </c>
      <c r="AQ9">
        <v>0.94699999999999995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5.8633199999999999</v>
      </c>
      <c r="E10">
        <v>-4.8187309999999997E-3</v>
      </c>
      <c r="F10">
        <v>2.3215E-2</v>
      </c>
      <c r="G10">
        <v>2.3793999999999999E-2</v>
      </c>
      <c r="H10">
        <v>2.4962937300000002E-2</v>
      </c>
      <c r="I10">
        <v>-8.2116899999999996E-4</v>
      </c>
      <c r="J10">
        <v>0.94499999999999995</v>
      </c>
      <c r="K10">
        <v>0</v>
      </c>
      <c r="M10" t="s">
        <v>17</v>
      </c>
      <c r="N10">
        <v>5.8643999999999998</v>
      </c>
      <c r="O10">
        <v>5.8492119999999996</v>
      </c>
      <c r="P10">
        <v>-1.5198949E-2</v>
      </c>
      <c r="Q10">
        <v>2.1322000000000001E-2</v>
      </c>
      <c r="R10">
        <v>2.2303E-2</v>
      </c>
      <c r="S10">
        <v>4.5985089600000001E-2</v>
      </c>
      <c r="T10">
        <v>-2.5917259999999999E-3</v>
      </c>
      <c r="U10">
        <v>0.90700000000000003</v>
      </c>
      <c r="V10">
        <v>0</v>
      </c>
      <c r="X10" t="s">
        <v>17</v>
      </c>
      <c r="Y10">
        <v>5.87</v>
      </c>
      <c r="Z10">
        <v>5.8619500000000002</v>
      </c>
      <c r="AA10">
        <v>-6.1890000000000001E-3</v>
      </c>
      <c r="AB10">
        <v>-1.0549999999999999E-3</v>
      </c>
      <c r="AC10">
        <v>2.2468999999999999E-2</v>
      </c>
      <c r="AD10">
        <v>2.3747000000000001E-2</v>
      </c>
      <c r="AE10">
        <v>5.6855000000000003E-2</v>
      </c>
      <c r="AF10">
        <v>0.95399999999999996</v>
      </c>
      <c r="AG10">
        <v>0</v>
      </c>
      <c r="AI10" t="s">
        <v>17</v>
      </c>
      <c r="AJ10">
        <v>5.86</v>
      </c>
      <c r="AK10">
        <v>5.8478820000000002</v>
      </c>
      <c r="AL10">
        <v>-1.653E-2</v>
      </c>
      <c r="AM10">
        <v>-2.82E-3</v>
      </c>
      <c r="AN10">
        <v>2.0714E-2</v>
      </c>
      <c r="AO10">
        <v>2.2266000000000001E-2</v>
      </c>
      <c r="AP10">
        <v>7.4899999999999994E-2</v>
      </c>
      <c r="AQ10">
        <v>0.91300000000000003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2.8201E-2</v>
      </c>
      <c r="E11">
        <v>-2.1526800000000001E-4</v>
      </c>
      <c r="F11">
        <v>1.6195000000000001E-2</v>
      </c>
      <c r="G11">
        <v>1.7479999999999999E-2</v>
      </c>
      <c r="H11">
        <v>7.9313246700000006E-2</v>
      </c>
      <c r="I11">
        <v>-7.5754530000000002E-3</v>
      </c>
      <c r="J11">
        <v>0.96599999999999997</v>
      </c>
      <c r="K11">
        <v>0</v>
      </c>
      <c r="M11" t="s">
        <v>18</v>
      </c>
      <c r="N11">
        <v>3.2099999999999997E-2</v>
      </c>
      <c r="O11">
        <v>4.1668999999999998E-2</v>
      </c>
      <c r="P11">
        <v>9.5601869999999995E-3</v>
      </c>
      <c r="Q11">
        <v>1.3441E-2</v>
      </c>
      <c r="R11">
        <v>1.5395000000000001E-2</v>
      </c>
      <c r="S11">
        <v>0.14537334609999999</v>
      </c>
      <c r="T11">
        <v>0.29774729649999998</v>
      </c>
      <c r="U11">
        <v>0.93600000000000005</v>
      </c>
      <c r="V11">
        <v>0</v>
      </c>
      <c r="X11" t="s">
        <v>18</v>
      </c>
      <c r="Y11">
        <v>0.03</v>
      </c>
      <c r="Z11">
        <v>2.9151E-2</v>
      </c>
      <c r="AA11">
        <v>7.3499999999999998E-4</v>
      </c>
      <c r="AB11">
        <v>2.5864000000000002E-2</v>
      </c>
      <c r="AC11">
        <v>1.6104E-2</v>
      </c>
      <c r="AD11">
        <v>1.7451999999999999E-2</v>
      </c>
      <c r="AE11">
        <v>8.3741999999999997E-2</v>
      </c>
      <c r="AF11">
        <v>0.97199999999999998</v>
      </c>
      <c r="AG11">
        <v>0</v>
      </c>
      <c r="AI11" t="s">
        <v>18</v>
      </c>
      <c r="AJ11">
        <v>0.03</v>
      </c>
      <c r="AK11">
        <v>4.2574000000000001E-2</v>
      </c>
      <c r="AL11">
        <v>1.047E-2</v>
      </c>
      <c r="AM11">
        <v>0.32593</v>
      </c>
      <c r="AN11">
        <v>1.3406E-2</v>
      </c>
      <c r="AO11">
        <v>1.5396E-2</v>
      </c>
      <c r="AP11">
        <v>0.14840999999999999</v>
      </c>
      <c r="AQ11">
        <v>0.93500000000000005</v>
      </c>
      <c r="AR11">
        <v>0</v>
      </c>
      <c r="AS11" s="14"/>
    </row>
    <row r="12" spans="1:47" x14ac:dyDescent="0.25">
      <c r="B12" s="2"/>
    </row>
    <row r="13" spans="1:47" x14ac:dyDescent="0.25">
      <c r="A13" s="14" t="s">
        <v>68</v>
      </c>
      <c r="B13" s="1" t="s">
        <v>443</v>
      </c>
      <c r="J13" s="12" t="str">
        <f>INDEX('Method Codes'!$B:$B, MATCH(B13, 'Method Codes'!$I:$I,0))</f>
        <v>IND</v>
      </c>
      <c r="K13" s="12" t="str">
        <f>INDEX('Method Codes'!H:H, MATCH(B13, 'Method Codes'!I:I,0))</f>
        <v>2B</v>
      </c>
      <c r="M13" s="1" t="s">
        <v>507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2B</v>
      </c>
      <c r="X13" s="1" t="s">
        <v>135</v>
      </c>
      <c r="AI13" s="1" t="s">
        <v>134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108.67322799999999</v>
      </c>
      <c r="E15">
        <v>1.5958193395</v>
      </c>
      <c r="F15">
        <v>1.476021</v>
      </c>
      <c r="G15">
        <v>1.4542619999999999</v>
      </c>
      <c r="H15">
        <v>-1.4741699E-2</v>
      </c>
      <c r="I15">
        <v>1.49034176E-2</v>
      </c>
      <c r="J15">
        <v>0.81100000000000005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110.286179</v>
      </c>
      <c r="P15">
        <v>3.4737227511</v>
      </c>
      <c r="Q15">
        <v>1.400649</v>
      </c>
      <c r="R15">
        <v>1.3811910000000001</v>
      </c>
      <c r="S15">
        <v>-1.3891937E-2</v>
      </c>
      <c r="T15">
        <v>3.2521700799999997E-2</v>
      </c>
      <c r="U15">
        <v>0.29699999999999999</v>
      </c>
      <c r="V15">
        <v>1</v>
      </c>
      <c r="X15" t="s">
        <v>12</v>
      </c>
      <c r="Y15">
        <v>107.08</v>
      </c>
      <c r="Z15">
        <v>108.7161</v>
      </c>
      <c r="AA15">
        <v>1.63872</v>
      </c>
      <c r="AB15">
        <v>1.5299999999999999E-2</v>
      </c>
      <c r="AC15">
        <v>1.4509000000000001</v>
      </c>
      <c r="AD15">
        <v>1.4536</v>
      </c>
      <c r="AE15">
        <v>1.8910000000000001E-3</v>
      </c>
      <c r="AF15">
        <v>0.78800000000000003</v>
      </c>
      <c r="AG15">
        <v>1</v>
      </c>
      <c r="AI15" t="s">
        <v>12</v>
      </c>
      <c r="AJ15">
        <v>106.81</v>
      </c>
      <c r="AK15">
        <v>110.2912</v>
      </c>
      <c r="AL15">
        <v>3.4787400000000002</v>
      </c>
      <c r="AM15">
        <v>3.2570000000000002E-2</v>
      </c>
      <c r="AN15">
        <v>1.3848</v>
      </c>
      <c r="AO15">
        <v>1.3808</v>
      </c>
      <c r="AP15">
        <v>-2.9160000000000002E-3</v>
      </c>
      <c r="AQ15">
        <v>0.28999999999999998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-4.6431230000000001</v>
      </c>
      <c r="E16">
        <v>0.1255184707</v>
      </c>
      <c r="F16">
        <v>0.54938399999999998</v>
      </c>
      <c r="G16">
        <v>0.54798000000000002</v>
      </c>
      <c r="H16">
        <v>-2.5544539999999998E-3</v>
      </c>
      <c r="I16">
        <v>-2.632164E-2</v>
      </c>
      <c r="J16">
        <v>0.94299999999999995</v>
      </c>
      <c r="K16">
        <v>1</v>
      </c>
      <c r="M16" t="s">
        <v>13</v>
      </c>
      <c r="N16">
        <v>-4.7992999999999997</v>
      </c>
      <c r="O16">
        <v>-4.6008769999999997</v>
      </c>
      <c r="P16">
        <v>0.1984050758</v>
      </c>
      <c r="Q16">
        <v>0.54642800000000002</v>
      </c>
      <c r="R16">
        <v>0.55186900000000005</v>
      </c>
      <c r="S16">
        <v>9.9577473E-3</v>
      </c>
      <c r="T16">
        <v>-4.1340575999999997E-2</v>
      </c>
      <c r="U16">
        <v>0.94</v>
      </c>
      <c r="V16">
        <v>1</v>
      </c>
      <c r="X16" t="s">
        <v>13</v>
      </c>
      <c r="Y16">
        <v>-4.7699999999999996</v>
      </c>
      <c r="Z16">
        <v>-4.6093000000000002</v>
      </c>
      <c r="AA16">
        <v>0.15931999999999999</v>
      </c>
      <c r="AB16">
        <v>-3.3410000000000002E-2</v>
      </c>
      <c r="AC16">
        <v>0.56259999999999999</v>
      </c>
      <c r="AD16">
        <v>0.54730000000000001</v>
      </c>
      <c r="AE16">
        <v>-2.7130999999999999E-2</v>
      </c>
      <c r="AF16">
        <v>0.94599999999999995</v>
      </c>
      <c r="AG16">
        <v>1</v>
      </c>
      <c r="AI16" t="s">
        <v>13</v>
      </c>
      <c r="AJ16">
        <v>-4.8</v>
      </c>
      <c r="AK16">
        <v>-4.5810000000000004</v>
      </c>
      <c r="AL16">
        <v>0.21831999999999999</v>
      </c>
      <c r="AM16">
        <v>-4.5490000000000003E-2</v>
      </c>
      <c r="AN16">
        <v>0.56630000000000003</v>
      </c>
      <c r="AO16">
        <v>0.55249999999999999</v>
      </c>
      <c r="AP16">
        <v>-2.4278999999999998E-2</v>
      </c>
      <c r="AQ16">
        <v>0.92800000000000005</v>
      </c>
      <c r="AR16">
        <v>1</v>
      </c>
      <c r="AS16" s="14"/>
    </row>
    <row r="17" spans="1:47" x14ac:dyDescent="0.25">
      <c r="A17" s="14"/>
      <c r="B17" t="s">
        <v>14</v>
      </c>
      <c r="C17">
        <v>8.6966999999999999</v>
      </c>
      <c r="D17">
        <v>6.6037239999999997</v>
      </c>
      <c r="E17">
        <v>-2.0929745070000001</v>
      </c>
      <c r="F17">
        <v>0.33241599999999999</v>
      </c>
      <c r="G17">
        <v>0.32627</v>
      </c>
      <c r="H17">
        <v>-1.8488642E-2</v>
      </c>
      <c r="I17">
        <v>-0.24066310499999999</v>
      </c>
      <c r="J17">
        <v>0</v>
      </c>
      <c r="K17">
        <v>1</v>
      </c>
      <c r="M17" t="s">
        <v>14</v>
      </c>
      <c r="N17">
        <v>8.7021999999999995</v>
      </c>
      <c r="O17">
        <v>6.0541660000000004</v>
      </c>
      <c r="P17">
        <v>-2.6480411500000001</v>
      </c>
      <c r="Q17">
        <v>0.34844599999999998</v>
      </c>
      <c r="R17">
        <v>0.34387000000000001</v>
      </c>
      <c r="S17">
        <v>-1.3133371E-2</v>
      </c>
      <c r="T17">
        <v>-0.304295341</v>
      </c>
      <c r="U17">
        <v>0</v>
      </c>
      <c r="V17">
        <v>1</v>
      </c>
      <c r="X17" t="s">
        <v>14</v>
      </c>
      <c r="Y17">
        <v>8.6999999999999993</v>
      </c>
      <c r="Z17">
        <v>6.5949</v>
      </c>
      <c r="AA17">
        <v>-2.1017999999999999</v>
      </c>
      <c r="AB17">
        <v>-0.24168000000000001</v>
      </c>
      <c r="AC17">
        <v>0.32340000000000002</v>
      </c>
      <c r="AD17">
        <v>0.3256</v>
      </c>
      <c r="AE17">
        <v>6.6899999999999998E-3</v>
      </c>
      <c r="AF17">
        <v>0</v>
      </c>
      <c r="AG17">
        <v>1</v>
      </c>
      <c r="AI17" t="s">
        <v>14</v>
      </c>
      <c r="AJ17">
        <v>8.6999999999999993</v>
      </c>
      <c r="AK17">
        <v>6.0590000000000002</v>
      </c>
      <c r="AL17">
        <v>-2.64317</v>
      </c>
      <c r="AM17">
        <v>-0.30374000000000001</v>
      </c>
      <c r="AN17">
        <v>0.34399999999999997</v>
      </c>
      <c r="AO17">
        <v>0.34329999999999999</v>
      </c>
      <c r="AP17">
        <v>-2.098E-3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-1.934213</v>
      </c>
      <c r="E18">
        <v>-0.323918757</v>
      </c>
      <c r="F18">
        <v>0.36236200000000002</v>
      </c>
      <c r="G18">
        <v>0.35103899999999999</v>
      </c>
      <c r="H18">
        <v>-3.1247145E-2</v>
      </c>
      <c r="I18">
        <v>0.2011549722</v>
      </c>
      <c r="J18">
        <v>0.83399999999999996</v>
      </c>
      <c r="K18">
        <v>1</v>
      </c>
      <c r="M18" t="s">
        <v>15</v>
      </c>
      <c r="N18">
        <v>-1.5806</v>
      </c>
      <c r="O18">
        <v>-2.335839</v>
      </c>
      <c r="P18">
        <v>-0.75521354799999996</v>
      </c>
      <c r="Q18">
        <v>0.348916</v>
      </c>
      <c r="R18">
        <v>0.34393099999999999</v>
      </c>
      <c r="S18">
        <v>-1.4285968E-2</v>
      </c>
      <c r="T18">
        <v>0.47779398020000002</v>
      </c>
      <c r="U18">
        <v>0.42299999999999999</v>
      </c>
      <c r="V18">
        <v>1</v>
      </c>
      <c r="X18" t="s">
        <v>15</v>
      </c>
      <c r="Y18">
        <v>-1.61</v>
      </c>
      <c r="Z18">
        <v>-1.9576</v>
      </c>
      <c r="AA18">
        <v>-0.34733999999999998</v>
      </c>
      <c r="AB18">
        <v>0.2157</v>
      </c>
      <c r="AC18">
        <v>0.34860000000000002</v>
      </c>
      <c r="AD18">
        <v>0.35089999999999999</v>
      </c>
      <c r="AE18">
        <v>6.7019999999999996E-3</v>
      </c>
      <c r="AF18">
        <v>0.83399999999999996</v>
      </c>
      <c r="AG18">
        <v>1</v>
      </c>
      <c r="AI18" t="s">
        <v>15</v>
      </c>
      <c r="AJ18">
        <v>-1.58</v>
      </c>
      <c r="AK18">
        <v>-2.3485</v>
      </c>
      <c r="AL18">
        <v>-0.76792000000000005</v>
      </c>
      <c r="AM18">
        <v>0.48583999999999999</v>
      </c>
      <c r="AN18">
        <v>0.3412</v>
      </c>
      <c r="AO18">
        <v>0.34360000000000002</v>
      </c>
      <c r="AP18">
        <v>6.9350000000000002E-3</v>
      </c>
      <c r="AQ18">
        <v>0.39700000000000002</v>
      </c>
      <c r="AR18">
        <v>1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-5.9036910000000002</v>
      </c>
      <c r="E19">
        <v>2.0114845876</v>
      </c>
      <c r="F19">
        <v>0.40995399999999999</v>
      </c>
      <c r="G19">
        <v>0.42034300000000002</v>
      </c>
      <c r="H19">
        <v>2.5342110399999999E-2</v>
      </c>
      <c r="I19">
        <v>-0.25413012699999998</v>
      </c>
      <c r="J19">
        <v>1E-3</v>
      </c>
      <c r="K19">
        <v>1</v>
      </c>
      <c r="M19" t="s">
        <v>16</v>
      </c>
      <c r="N19">
        <v>-7.7763999999999998</v>
      </c>
      <c r="O19">
        <v>-5.2502209999999998</v>
      </c>
      <c r="P19">
        <v>2.5262083476999999</v>
      </c>
      <c r="Q19">
        <v>0.420879</v>
      </c>
      <c r="R19">
        <v>0.43474200000000002</v>
      </c>
      <c r="S19">
        <v>3.29388839E-2</v>
      </c>
      <c r="T19">
        <v>-0.32485455200000002</v>
      </c>
      <c r="U19">
        <v>0</v>
      </c>
      <c r="V19">
        <v>1</v>
      </c>
      <c r="X19" t="s">
        <v>16</v>
      </c>
      <c r="Y19">
        <v>-7.92</v>
      </c>
      <c r="Z19">
        <v>-5.8924000000000003</v>
      </c>
      <c r="AA19">
        <v>2.0228000000000002</v>
      </c>
      <c r="AB19">
        <v>-0.25556000000000001</v>
      </c>
      <c r="AC19">
        <v>0.42830000000000001</v>
      </c>
      <c r="AD19">
        <v>0.42049999999999998</v>
      </c>
      <c r="AE19">
        <v>-1.8248E-2</v>
      </c>
      <c r="AF19">
        <v>1E-3</v>
      </c>
      <c r="AG19">
        <v>1</v>
      </c>
      <c r="AI19" t="s">
        <v>16</v>
      </c>
      <c r="AJ19">
        <v>-7.78</v>
      </c>
      <c r="AK19">
        <v>-5.2306999999999997</v>
      </c>
      <c r="AL19">
        <v>2.5457200000000002</v>
      </c>
      <c r="AM19">
        <v>-0.32735999999999998</v>
      </c>
      <c r="AN19">
        <v>0.44850000000000001</v>
      </c>
      <c r="AO19">
        <v>0.435</v>
      </c>
      <c r="AP19">
        <v>-3.0171E-2</v>
      </c>
      <c r="AQ19">
        <v>0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5.8874709999999997</v>
      </c>
      <c r="E20">
        <v>1.9331673399999999E-2</v>
      </c>
      <c r="F20">
        <v>3.0668000000000001E-2</v>
      </c>
      <c r="G20">
        <v>3.0675000000000001E-2</v>
      </c>
      <c r="H20">
        <v>2.4684080000000002E-4</v>
      </c>
      <c r="I20">
        <v>3.2943448000000001E-3</v>
      </c>
      <c r="J20">
        <v>0.90800000000000003</v>
      </c>
      <c r="K20">
        <v>1</v>
      </c>
      <c r="M20" t="s">
        <v>17</v>
      </c>
      <c r="N20">
        <v>5.8643999999999998</v>
      </c>
      <c r="O20">
        <v>5.92699</v>
      </c>
      <c r="P20">
        <v>6.2579117899999995E-2</v>
      </c>
      <c r="Q20">
        <v>2.7498999999999999E-2</v>
      </c>
      <c r="R20">
        <v>2.7351E-2</v>
      </c>
      <c r="S20">
        <v>-5.3644779999999998E-3</v>
      </c>
      <c r="T20">
        <v>1.0670998399999999E-2</v>
      </c>
      <c r="U20">
        <v>0.35899999999999999</v>
      </c>
      <c r="V20">
        <v>1</v>
      </c>
      <c r="X20" t="s">
        <v>17</v>
      </c>
      <c r="Y20">
        <v>5.87</v>
      </c>
      <c r="Z20">
        <v>5.8860999999999999</v>
      </c>
      <c r="AA20">
        <v>1.797E-2</v>
      </c>
      <c r="AB20">
        <v>3.0599999999999998E-3</v>
      </c>
      <c r="AC20">
        <v>3.09E-2</v>
      </c>
      <c r="AD20">
        <v>3.0499999999999999E-2</v>
      </c>
      <c r="AE20">
        <v>-1.2749E-2</v>
      </c>
      <c r="AF20">
        <v>0.9</v>
      </c>
      <c r="AG20">
        <v>1</v>
      </c>
      <c r="AI20" t="s">
        <v>17</v>
      </c>
      <c r="AJ20">
        <v>5.86</v>
      </c>
      <c r="AK20">
        <v>5.9260999999999999</v>
      </c>
      <c r="AL20">
        <v>6.166E-2</v>
      </c>
      <c r="AM20">
        <v>1.051E-2</v>
      </c>
      <c r="AN20">
        <v>2.7300000000000001E-2</v>
      </c>
      <c r="AO20">
        <v>2.7199999999999998E-2</v>
      </c>
      <c r="AP20">
        <v>-2.3909999999999999E-3</v>
      </c>
      <c r="AQ20">
        <v>0.39900000000000002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3.1807000000000002E-2</v>
      </c>
      <c r="E21">
        <v>3.3906867999999998E-3</v>
      </c>
      <c r="F21">
        <v>1.7930000000000001E-2</v>
      </c>
      <c r="G21">
        <v>1.7829000000000001E-2</v>
      </c>
      <c r="H21">
        <v>-5.6192500000000001E-3</v>
      </c>
      <c r="I21">
        <v>0.1193209526</v>
      </c>
      <c r="J21">
        <v>0.94699999999999995</v>
      </c>
      <c r="K21">
        <v>0.42899999999999999</v>
      </c>
      <c r="M21" t="s">
        <v>18</v>
      </c>
      <c r="N21">
        <v>3.2099999999999997E-2</v>
      </c>
      <c r="O21">
        <v>4.2994999999999998E-2</v>
      </c>
      <c r="P21">
        <v>1.0886316700000001E-2</v>
      </c>
      <c r="Q21">
        <v>1.5391999999999999E-2</v>
      </c>
      <c r="R21">
        <v>1.5321E-2</v>
      </c>
      <c r="S21">
        <v>-4.6136880000000003E-3</v>
      </c>
      <c r="T21">
        <v>0.33904895070000002</v>
      </c>
      <c r="U21">
        <v>0.874</v>
      </c>
      <c r="V21">
        <v>0.80300000000000005</v>
      </c>
      <c r="X21" t="s">
        <v>18</v>
      </c>
      <c r="Y21">
        <v>0.03</v>
      </c>
      <c r="Z21">
        <v>3.3099999999999997E-2</v>
      </c>
      <c r="AA21">
        <v>4.6600000000000001E-3</v>
      </c>
      <c r="AB21">
        <v>0.16388</v>
      </c>
      <c r="AC21">
        <v>1.83E-2</v>
      </c>
      <c r="AD21">
        <v>1.78E-2</v>
      </c>
      <c r="AE21">
        <v>-2.8188000000000001E-2</v>
      </c>
      <c r="AF21">
        <v>0.94499999999999995</v>
      </c>
      <c r="AG21">
        <v>0.47799999999999998</v>
      </c>
      <c r="AI21" t="s">
        <v>18</v>
      </c>
      <c r="AJ21">
        <v>0.03</v>
      </c>
      <c r="AK21">
        <v>4.3900000000000002E-2</v>
      </c>
      <c r="AL21">
        <v>1.176E-2</v>
      </c>
      <c r="AM21">
        <v>0.36620999999999998</v>
      </c>
      <c r="AN21">
        <v>1.54E-2</v>
      </c>
      <c r="AO21">
        <v>1.5299999999999999E-2</v>
      </c>
      <c r="AP21">
        <v>-4.561E-3</v>
      </c>
      <c r="AQ21">
        <v>0.88900000000000001</v>
      </c>
      <c r="AR21">
        <v>0.82399999999999995</v>
      </c>
      <c r="AS21" s="14"/>
    </row>
    <row r="22" spans="1:47" x14ac:dyDescent="0.25">
      <c r="B22" s="2"/>
      <c r="AU22" t="s">
        <v>103</v>
      </c>
    </row>
    <row r="23" spans="1:47" hidden="1" x14ac:dyDescent="0.25">
      <c r="A23" s="13" t="s">
        <v>69</v>
      </c>
      <c r="B23" s="1" t="s">
        <v>110</v>
      </c>
      <c r="M23" s="1" t="s">
        <v>111</v>
      </c>
      <c r="X23" s="1" t="s">
        <v>112</v>
      </c>
      <c r="AI23" s="1" t="s">
        <v>113</v>
      </c>
      <c r="AS23" s="13" t="s">
        <v>69</v>
      </c>
    </row>
    <row r="24" spans="1:47" hidden="1" x14ac:dyDescent="0.25">
      <c r="A24" s="13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idden="1" x14ac:dyDescent="0.25">
      <c r="A25" s="13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idden="1" x14ac:dyDescent="0.25">
      <c r="A26" s="13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idden="1" x14ac:dyDescent="0.25">
      <c r="A27" s="13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idden="1" x14ac:dyDescent="0.25">
      <c r="A28" s="13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idden="1" x14ac:dyDescent="0.25">
      <c r="A29" s="13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idden="1" x14ac:dyDescent="0.25">
      <c r="A30" s="13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idden="1" x14ac:dyDescent="0.25">
      <c r="A31" s="13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45" hidden="1" customHeight="1" x14ac:dyDescent="0.25"/>
    <row r="33" spans="1:47" x14ac:dyDescent="0.25">
      <c r="A33" s="13" t="s">
        <v>69</v>
      </c>
      <c r="B33" s="1" t="s">
        <v>456</v>
      </c>
      <c r="J33" s="12" t="str">
        <f>INDEX('Method Codes'!$B:$B, MATCH(B33, 'Method Codes'!$I:$I,0))</f>
        <v>IND</v>
      </c>
      <c r="K33" s="12" t="str">
        <f>INDEX('Method Codes'!H:H, MATCH(B33, 'Method Codes'!I:I,0))</f>
        <v>3B</v>
      </c>
      <c r="M33" s="1" t="s">
        <v>518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3B</v>
      </c>
      <c r="X33" s="1" t="s">
        <v>136</v>
      </c>
      <c r="AI33" s="1" t="s">
        <v>137</v>
      </c>
      <c r="AS33" s="13" t="s">
        <v>69</v>
      </c>
    </row>
    <row r="34" spans="1:47" x14ac:dyDescent="0.25">
      <c r="A34" s="13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3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106.01638</v>
      </c>
      <c r="E35">
        <v>-1.061028922</v>
      </c>
      <c r="F35">
        <v>2.5662539999999998</v>
      </c>
      <c r="G35">
        <v>2.723001</v>
      </c>
      <c r="H35">
        <v>6.1080156900000002E-2</v>
      </c>
      <c r="I35">
        <v>-9.9089899999999995E-3</v>
      </c>
      <c r="J35">
        <v>0.93400000000000005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106.409465</v>
      </c>
      <c r="P35">
        <v>-0.40299188200000002</v>
      </c>
      <c r="Q35">
        <v>3.1019169999999998</v>
      </c>
      <c r="R35">
        <v>3.286279</v>
      </c>
      <c r="S35">
        <v>5.9434887700000001E-2</v>
      </c>
      <c r="T35">
        <v>-3.7728919999999999E-3</v>
      </c>
      <c r="U35">
        <v>0.95299999999999996</v>
      </c>
      <c r="V35">
        <v>0</v>
      </c>
      <c r="X35" t="s">
        <v>12</v>
      </c>
      <c r="Y35">
        <v>107.08</v>
      </c>
      <c r="Z35">
        <v>106.041383</v>
      </c>
      <c r="AA35">
        <v>-1.03603</v>
      </c>
      <c r="AB35">
        <v>-9.6799999999999994E-3</v>
      </c>
      <c r="AC35">
        <v>2.6466940000000001</v>
      </c>
      <c r="AD35">
        <v>2.77521</v>
      </c>
      <c r="AE35">
        <v>4.8557000000000003E-2</v>
      </c>
      <c r="AF35">
        <v>0.94199999999999995</v>
      </c>
      <c r="AG35">
        <v>0</v>
      </c>
      <c r="AI35" t="s">
        <v>12</v>
      </c>
      <c r="AJ35">
        <v>106.81</v>
      </c>
      <c r="AK35">
        <v>106.371831</v>
      </c>
      <c r="AL35">
        <v>-0.44063000000000002</v>
      </c>
      <c r="AM35">
        <v>-4.13E-3</v>
      </c>
      <c r="AN35">
        <v>3.1739480000000002</v>
      </c>
      <c r="AO35">
        <v>3.343874</v>
      </c>
      <c r="AP35">
        <v>5.3538000000000002E-2</v>
      </c>
      <c r="AQ35">
        <v>0.96099999999999997</v>
      </c>
      <c r="AR35">
        <v>0</v>
      </c>
      <c r="AS35" s="14"/>
    </row>
    <row r="36" spans="1:47" x14ac:dyDescent="0.25">
      <c r="A36" s="13"/>
      <c r="B36" t="s">
        <v>13</v>
      </c>
      <c r="C36">
        <v>-4.7686000000000002</v>
      </c>
      <c r="D36">
        <v>-3.8474900000000001</v>
      </c>
      <c r="E36">
        <v>0.92115178509999995</v>
      </c>
      <c r="F36">
        <v>1.1500790000000001</v>
      </c>
      <c r="G36">
        <v>1.1770719999999999</v>
      </c>
      <c r="H36">
        <v>2.3470366600000001E-2</v>
      </c>
      <c r="I36">
        <v>-0.19316859</v>
      </c>
      <c r="J36">
        <v>0.90900000000000003</v>
      </c>
      <c r="K36">
        <v>0</v>
      </c>
      <c r="M36" t="s">
        <v>13</v>
      </c>
      <c r="N36">
        <v>-4.7992999999999997</v>
      </c>
      <c r="O36">
        <v>-3.8406579999999999</v>
      </c>
      <c r="P36">
        <v>0.95862351869999995</v>
      </c>
      <c r="Q36">
        <v>1.311096</v>
      </c>
      <c r="R36">
        <v>1.3499490000000001</v>
      </c>
      <c r="S36">
        <v>2.9634423900000002E-2</v>
      </c>
      <c r="T36">
        <v>-0.199743116</v>
      </c>
      <c r="U36">
        <v>0.91700000000000004</v>
      </c>
      <c r="V36">
        <v>0</v>
      </c>
      <c r="X36" t="s">
        <v>13</v>
      </c>
      <c r="Y36">
        <v>-4.7699999999999996</v>
      </c>
      <c r="Z36">
        <v>-3.836843</v>
      </c>
      <c r="AA36">
        <v>0.93179999999999996</v>
      </c>
      <c r="AB36">
        <v>-0.19539999999999999</v>
      </c>
      <c r="AC36">
        <v>1.1652279999999999</v>
      </c>
      <c r="AD36">
        <v>1.189268</v>
      </c>
      <c r="AE36">
        <v>2.0631E-2</v>
      </c>
      <c r="AF36">
        <v>0.91600000000000004</v>
      </c>
      <c r="AG36">
        <v>0</v>
      </c>
      <c r="AI36" t="s">
        <v>13</v>
      </c>
      <c r="AJ36">
        <v>-4.8</v>
      </c>
      <c r="AK36">
        <v>-3.8661560000000001</v>
      </c>
      <c r="AL36">
        <v>0.93313000000000001</v>
      </c>
      <c r="AM36">
        <v>-0.19442999999999999</v>
      </c>
      <c r="AN36">
        <v>1.325647</v>
      </c>
      <c r="AO36">
        <v>1.364055</v>
      </c>
      <c r="AP36">
        <v>2.8972999999999999E-2</v>
      </c>
      <c r="AQ36">
        <v>0.91800000000000004</v>
      </c>
      <c r="AR36">
        <v>0</v>
      </c>
      <c r="AS36" s="14"/>
      <c r="AU36" t="s">
        <v>105</v>
      </c>
    </row>
    <row r="37" spans="1:47" x14ac:dyDescent="0.25">
      <c r="A37" s="13"/>
      <c r="B37" t="s">
        <v>14</v>
      </c>
      <c r="C37">
        <v>8.6966999999999999</v>
      </c>
      <c r="D37">
        <v>8.5837000000000003</v>
      </c>
      <c r="E37">
        <v>-0.11299868</v>
      </c>
      <c r="F37">
        <v>0.57050900000000004</v>
      </c>
      <c r="G37">
        <v>0.609962</v>
      </c>
      <c r="H37">
        <v>6.9155575900000002E-2</v>
      </c>
      <c r="I37">
        <v>-1.2993284000000001E-2</v>
      </c>
      <c r="J37">
        <v>0.96199999999999997</v>
      </c>
      <c r="K37">
        <v>0</v>
      </c>
      <c r="M37" t="s">
        <v>14</v>
      </c>
      <c r="N37">
        <v>8.7021999999999995</v>
      </c>
      <c r="O37">
        <v>8.6063039999999997</v>
      </c>
      <c r="P37">
        <v>-9.5903278999999994E-2</v>
      </c>
      <c r="Q37">
        <v>0.65567500000000001</v>
      </c>
      <c r="R37">
        <v>0.67546200000000001</v>
      </c>
      <c r="S37">
        <v>3.0178649799999999E-2</v>
      </c>
      <c r="T37">
        <v>-1.1020568999999999E-2</v>
      </c>
      <c r="U37">
        <v>0.95499999999999996</v>
      </c>
      <c r="V37">
        <v>0</v>
      </c>
      <c r="X37" t="s">
        <v>14</v>
      </c>
      <c r="Y37">
        <v>8.6999999999999993</v>
      </c>
      <c r="Z37">
        <v>8.5833259999999996</v>
      </c>
      <c r="AA37">
        <v>-0.11337</v>
      </c>
      <c r="AB37">
        <v>-1.304E-2</v>
      </c>
      <c r="AC37">
        <v>0.593337</v>
      </c>
      <c r="AD37">
        <v>0.61070599999999997</v>
      </c>
      <c r="AE37">
        <v>2.9273E-2</v>
      </c>
      <c r="AF37">
        <v>0.95199999999999996</v>
      </c>
      <c r="AG37">
        <v>0</v>
      </c>
      <c r="AI37" t="s">
        <v>14</v>
      </c>
      <c r="AJ37">
        <v>8.6999999999999993</v>
      </c>
      <c r="AK37">
        <v>8.6048690000000008</v>
      </c>
      <c r="AL37">
        <v>-9.7339999999999996E-2</v>
      </c>
      <c r="AM37">
        <v>-1.119E-2</v>
      </c>
      <c r="AN37">
        <v>0.67153200000000002</v>
      </c>
      <c r="AO37">
        <v>0.67311299999999996</v>
      </c>
      <c r="AP37">
        <v>2.3540000000000002E-3</v>
      </c>
      <c r="AQ37">
        <v>0.95699999999999996</v>
      </c>
      <c r="AR37">
        <v>0</v>
      </c>
      <c r="AS37" s="14"/>
    </row>
    <row r="38" spans="1:47" x14ac:dyDescent="0.25">
      <c r="A38" s="13"/>
      <c r="B38" t="s">
        <v>15</v>
      </c>
      <c r="C38">
        <v>-1.6103000000000001</v>
      </c>
      <c r="D38">
        <v>-1.7848349999999999</v>
      </c>
      <c r="E38">
        <v>-0.174540101</v>
      </c>
      <c r="F38">
        <v>0.73988699999999996</v>
      </c>
      <c r="G38">
        <v>0.71232499999999999</v>
      </c>
      <c r="H38">
        <v>-3.7252591000000002E-2</v>
      </c>
      <c r="I38">
        <v>0.1083901697</v>
      </c>
      <c r="J38">
        <v>0.93400000000000005</v>
      </c>
      <c r="K38">
        <v>0</v>
      </c>
      <c r="M38" t="s">
        <v>15</v>
      </c>
      <c r="N38">
        <v>-1.5806</v>
      </c>
      <c r="O38">
        <v>-2.010831</v>
      </c>
      <c r="P38">
        <v>-0.43020461900000001</v>
      </c>
      <c r="Q38">
        <v>0.88915599999999995</v>
      </c>
      <c r="R38">
        <v>0.86123899999999998</v>
      </c>
      <c r="S38">
        <v>-3.1397440999999998E-2</v>
      </c>
      <c r="T38">
        <v>0.27217358289999999</v>
      </c>
      <c r="U38">
        <v>0.91600000000000004</v>
      </c>
      <c r="V38">
        <v>0</v>
      </c>
      <c r="X38" t="s">
        <v>15</v>
      </c>
      <c r="Y38">
        <v>-1.61</v>
      </c>
      <c r="Z38">
        <v>-1.8114570000000001</v>
      </c>
      <c r="AA38">
        <v>-0.20116000000000001</v>
      </c>
      <c r="AB38">
        <v>0.12492</v>
      </c>
      <c r="AC38">
        <v>0.73904199999999998</v>
      </c>
      <c r="AD38">
        <v>0.71649399999999996</v>
      </c>
      <c r="AE38">
        <v>-3.0511E-2</v>
      </c>
      <c r="AF38">
        <v>0.92800000000000005</v>
      </c>
      <c r="AG38">
        <v>0</v>
      </c>
      <c r="AI38" t="s">
        <v>15</v>
      </c>
      <c r="AJ38">
        <v>-1.58</v>
      </c>
      <c r="AK38">
        <v>-2.018392</v>
      </c>
      <c r="AL38">
        <v>-0.43776999999999999</v>
      </c>
      <c r="AM38">
        <v>0.27695999999999998</v>
      </c>
      <c r="AN38">
        <v>0.89036800000000005</v>
      </c>
      <c r="AO38">
        <v>0.8619</v>
      </c>
      <c r="AP38">
        <v>-3.1973000000000001E-2</v>
      </c>
      <c r="AQ38">
        <v>0.92200000000000004</v>
      </c>
      <c r="AR38">
        <v>0</v>
      </c>
      <c r="AS38" s="14"/>
    </row>
    <row r="39" spans="1:47" x14ac:dyDescent="0.25">
      <c r="A39" s="13"/>
      <c r="B39" t="s">
        <v>16</v>
      </c>
      <c r="C39">
        <v>-7.9151999999999996</v>
      </c>
      <c r="D39">
        <v>-8.1382569999999994</v>
      </c>
      <c r="E39">
        <v>-0.22308164699999999</v>
      </c>
      <c r="F39">
        <v>0.79084900000000002</v>
      </c>
      <c r="G39">
        <v>0.80240199999999995</v>
      </c>
      <c r="H39">
        <v>1.46075367E-2</v>
      </c>
      <c r="I39">
        <v>2.8184042499999999E-2</v>
      </c>
      <c r="J39">
        <v>0.94699999999999995</v>
      </c>
      <c r="K39">
        <v>0</v>
      </c>
      <c r="M39" t="s">
        <v>16</v>
      </c>
      <c r="N39">
        <v>-7.7763999999999998</v>
      </c>
      <c r="O39">
        <v>-8.0859839999999998</v>
      </c>
      <c r="P39">
        <v>-0.30955465900000001</v>
      </c>
      <c r="Q39">
        <v>0.88242799999999999</v>
      </c>
      <c r="R39">
        <v>0.88523700000000005</v>
      </c>
      <c r="S39">
        <v>3.1827205000000002E-3</v>
      </c>
      <c r="T39">
        <v>3.9806788000000003E-2</v>
      </c>
      <c r="U39">
        <v>0.93799999999999994</v>
      </c>
      <c r="V39">
        <v>0</v>
      </c>
      <c r="X39" t="s">
        <v>16</v>
      </c>
      <c r="Y39">
        <v>-7.92</v>
      </c>
      <c r="Z39">
        <v>-8.1286369999999994</v>
      </c>
      <c r="AA39">
        <v>-0.21346000000000001</v>
      </c>
      <c r="AB39">
        <v>2.6970000000000001E-2</v>
      </c>
      <c r="AC39">
        <v>0.82354799999999995</v>
      </c>
      <c r="AD39">
        <v>0.80425000000000002</v>
      </c>
      <c r="AE39">
        <v>-2.3432999999999999E-2</v>
      </c>
      <c r="AF39">
        <v>0.93600000000000005</v>
      </c>
      <c r="AG39">
        <v>0</v>
      </c>
      <c r="AI39" t="s">
        <v>16</v>
      </c>
      <c r="AJ39">
        <v>-7.78</v>
      </c>
      <c r="AK39">
        <v>-8.0417909999999999</v>
      </c>
      <c r="AL39">
        <v>-0.26535999999999998</v>
      </c>
      <c r="AM39">
        <v>3.4119999999999998E-2</v>
      </c>
      <c r="AN39">
        <v>0.92478899999999997</v>
      </c>
      <c r="AO39">
        <v>0.88417500000000004</v>
      </c>
      <c r="AP39">
        <v>-4.3916999999999998E-2</v>
      </c>
      <c r="AQ39">
        <v>0.93500000000000005</v>
      </c>
      <c r="AR39">
        <v>0</v>
      </c>
      <c r="AS39" s="14"/>
    </row>
    <row r="40" spans="1:47" x14ac:dyDescent="0.25">
      <c r="A40" s="13"/>
      <c r="B40" t="s">
        <v>17</v>
      </c>
      <c r="C40">
        <v>5.8681000000000001</v>
      </c>
      <c r="D40">
        <v>5.8696099999999998</v>
      </c>
      <c r="E40">
        <v>1.4714063999999999E-3</v>
      </c>
      <c r="F40">
        <v>5.8486999999999997E-2</v>
      </c>
      <c r="G40">
        <v>6.2515000000000001E-2</v>
      </c>
      <c r="H40">
        <v>6.8879002600000003E-2</v>
      </c>
      <c r="I40">
        <v>2.5074500000000003E-4</v>
      </c>
      <c r="J40">
        <v>0.96799999999999997</v>
      </c>
      <c r="K40">
        <v>0</v>
      </c>
      <c r="M40" t="s">
        <v>17</v>
      </c>
      <c r="N40">
        <v>5.8643999999999998</v>
      </c>
      <c r="O40">
        <v>5.8509760000000002</v>
      </c>
      <c r="P40">
        <v>-1.3434280999999999E-2</v>
      </c>
      <c r="Q40">
        <v>6.4897999999999997E-2</v>
      </c>
      <c r="R40">
        <v>6.9067000000000003E-2</v>
      </c>
      <c r="S40">
        <v>6.4239340800000003E-2</v>
      </c>
      <c r="T40">
        <v>-2.2908149999999999E-3</v>
      </c>
      <c r="U40">
        <v>0.96799999999999997</v>
      </c>
      <c r="V40">
        <v>0</v>
      </c>
      <c r="X40" t="s">
        <v>17</v>
      </c>
      <c r="Y40">
        <v>5.87</v>
      </c>
      <c r="Z40">
        <v>5.8666</v>
      </c>
      <c r="AA40">
        <v>-1.5399999999999999E-3</v>
      </c>
      <c r="AB40">
        <v>-2.5999999999999998E-4</v>
      </c>
      <c r="AC40">
        <v>5.9422999999999997E-2</v>
      </c>
      <c r="AD40">
        <v>6.5040000000000001E-2</v>
      </c>
      <c r="AE40">
        <v>9.4536999999999996E-2</v>
      </c>
      <c r="AF40">
        <v>0.97099999999999997</v>
      </c>
      <c r="AG40">
        <v>0</v>
      </c>
      <c r="AI40" t="s">
        <v>17</v>
      </c>
      <c r="AJ40">
        <v>5.86</v>
      </c>
      <c r="AK40">
        <v>5.8483140000000002</v>
      </c>
      <c r="AL40">
        <v>-1.61E-2</v>
      </c>
      <c r="AM40">
        <v>-2.7399999999999998E-3</v>
      </c>
      <c r="AN40">
        <v>6.5863000000000005E-2</v>
      </c>
      <c r="AO40">
        <v>7.2361999999999996E-2</v>
      </c>
      <c r="AP40">
        <v>9.8678000000000002E-2</v>
      </c>
      <c r="AQ40">
        <v>0.97399999999999998</v>
      </c>
      <c r="AR40">
        <v>0</v>
      </c>
      <c r="AS40" s="14"/>
    </row>
    <row r="41" spans="1:47" x14ac:dyDescent="0.25">
      <c r="A41" s="13"/>
      <c r="B41" t="s">
        <v>18</v>
      </c>
      <c r="C41">
        <v>2.8400000000000002E-2</v>
      </c>
      <c r="D41">
        <v>4.2810000000000001E-2</v>
      </c>
      <c r="E41">
        <v>1.43933016E-2</v>
      </c>
      <c r="F41">
        <v>4.9221000000000001E-2</v>
      </c>
      <c r="G41">
        <v>5.0858E-2</v>
      </c>
      <c r="H41">
        <v>3.32770119E-2</v>
      </c>
      <c r="I41">
        <v>0.5065116744</v>
      </c>
      <c r="J41">
        <v>0.95899999999999996</v>
      </c>
      <c r="K41">
        <v>0</v>
      </c>
      <c r="M41" t="s">
        <v>18</v>
      </c>
      <c r="N41">
        <v>3.2099999999999997E-2</v>
      </c>
      <c r="O41">
        <v>6.1485999999999999E-2</v>
      </c>
      <c r="P41">
        <v>2.9377567100000002E-2</v>
      </c>
      <c r="Q41">
        <v>5.6746999999999999E-2</v>
      </c>
      <c r="R41">
        <v>5.8299999999999998E-2</v>
      </c>
      <c r="S41">
        <v>2.73642968E-2</v>
      </c>
      <c r="T41">
        <v>0.91494980110000002</v>
      </c>
      <c r="U41">
        <v>0.94499999999999995</v>
      </c>
      <c r="V41">
        <v>0</v>
      </c>
      <c r="X41" t="s">
        <v>18</v>
      </c>
      <c r="Y41">
        <v>0.03</v>
      </c>
      <c r="Z41">
        <v>4.5647E-2</v>
      </c>
      <c r="AA41">
        <v>1.7229999999999999E-2</v>
      </c>
      <c r="AB41">
        <v>0.60636000000000001</v>
      </c>
      <c r="AC41">
        <v>5.1726000000000001E-2</v>
      </c>
      <c r="AD41">
        <v>5.4026999999999999E-2</v>
      </c>
      <c r="AE41">
        <v>4.4502E-2</v>
      </c>
      <c r="AF41">
        <v>0.97199999999999998</v>
      </c>
      <c r="AG41">
        <v>0</v>
      </c>
      <c r="AI41" t="s">
        <v>18</v>
      </c>
      <c r="AJ41">
        <v>0.03</v>
      </c>
      <c r="AK41">
        <v>6.3927999999999999E-2</v>
      </c>
      <c r="AL41">
        <v>3.1820000000000001E-2</v>
      </c>
      <c r="AM41">
        <v>0.99099000000000004</v>
      </c>
      <c r="AN41">
        <v>5.8268E-2</v>
      </c>
      <c r="AO41">
        <v>6.2209E-2</v>
      </c>
      <c r="AP41">
        <v>6.7644999999999997E-2</v>
      </c>
      <c r="AQ41">
        <v>0.95199999999999996</v>
      </c>
      <c r="AR41">
        <v>0</v>
      </c>
      <c r="AS41" s="14"/>
    </row>
    <row r="43" spans="1:47" x14ac:dyDescent="0.25">
      <c r="A43" s="13" t="s">
        <v>70</v>
      </c>
      <c r="B43" s="1" t="s">
        <v>464</v>
      </c>
      <c r="J43" s="12" t="str">
        <f>INDEX('Method Codes'!$B:$B, MATCH(B43, 'Method Codes'!$I:$I,0))</f>
        <v>IND</v>
      </c>
      <c r="K43" s="12" t="str">
        <f>INDEX('Method Codes'!H:H, MATCH(B43, 'Method Codes'!I:I,0))</f>
        <v>4B</v>
      </c>
      <c r="M43" s="1" t="s">
        <v>525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4B</v>
      </c>
      <c r="X43" s="1" t="s">
        <v>139</v>
      </c>
      <c r="AI43" s="1" t="s">
        <v>138</v>
      </c>
      <c r="AS43" s="13" t="s">
        <v>70</v>
      </c>
    </row>
    <row r="44" spans="1:47" x14ac:dyDescent="0.25">
      <c r="A44" s="13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3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105.37715900000001</v>
      </c>
      <c r="E45">
        <v>-1.700249218</v>
      </c>
      <c r="F45">
        <v>2.1789040000000002</v>
      </c>
      <c r="G45">
        <v>2.1653570000000002</v>
      </c>
      <c r="H45">
        <v>-6.2172440000000002E-3</v>
      </c>
      <c r="I45">
        <v>-1.5878692E-2</v>
      </c>
      <c r="J45">
        <v>0.879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105.80912499999999</v>
      </c>
      <c r="P45">
        <v>-1.0033318659999999</v>
      </c>
      <c r="Q45">
        <v>2.5842960000000001</v>
      </c>
      <c r="R45">
        <v>2.5688</v>
      </c>
      <c r="S45">
        <v>-5.996492E-3</v>
      </c>
      <c r="T45">
        <v>-9.3933980000000007E-3</v>
      </c>
      <c r="U45">
        <v>0.93400000000000005</v>
      </c>
      <c r="V45">
        <v>1</v>
      </c>
      <c r="X45" t="s">
        <v>12</v>
      </c>
      <c r="Y45">
        <v>107.08</v>
      </c>
      <c r="Z45">
        <v>105.4678</v>
      </c>
      <c r="AA45">
        <v>-1.60964</v>
      </c>
      <c r="AB45">
        <v>-1.503E-2</v>
      </c>
      <c r="AC45">
        <v>2.2227000000000001</v>
      </c>
      <c r="AD45">
        <v>2.1636000000000002</v>
      </c>
      <c r="AE45">
        <v>-2.6579999999999999E-2</v>
      </c>
      <c r="AF45">
        <v>0.877</v>
      </c>
      <c r="AG45">
        <v>1</v>
      </c>
      <c r="AI45" t="s">
        <v>12</v>
      </c>
      <c r="AJ45">
        <v>106.81</v>
      </c>
      <c r="AK45">
        <v>105.8852</v>
      </c>
      <c r="AL45">
        <v>-0.92727999999999999</v>
      </c>
      <c r="AM45">
        <v>-8.6800000000000002E-3</v>
      </c>
      <c r="AN45">
        <v>2.6444999999999999</v>
      </c>
      <c r="AO45">
        <v>2.5659999999999998</v>
      </c>
      <c r="AP45">
        <v>-2.9680000000000002E-2</v>
      </c>
      <c r="AQ45">
        <v>0.92700000000000005</v>
      </c>
      <c r="AR45">
        <v>1</v>
      </c>
      <c r="AS45" s="14"/>
    </row>
    <row r="46" spans="1:47" x14ac:dyDescent="0.25">
      <c r="A46" s="13"/>
      <c r="B46" t="s">
        <v>13</v>
      </c>
      <c r="C46">
        <v>-4.7686000000000002</v>
      </c>
      <c r="D46">
        <v>-4.120228</v>
      </c>
      <c r="E46">
        <v>0.64841401649999997</v>
      </c>
      <c r="F46">
        <v>0.86932600000000004</v>
      </c>
      <c r="G46">
        <v>0.88600699999999999</v>
      </c>
      <c r="H46">
        <v>1.9188217E-2</v>
      </c>
      <c r="I46">
        <v>-0.13597457399999999</v>
      </c>
      <c r="J46">
        <v>0.89300000000000002</v>
      </c>
      <c r="K46">
        <v>0.997</v>
      </c>
      <c r="M46" t="s">
        <v>13</v>
      </c>
      <c r="N46">
        <v>-4.7992999999999997</v>
      </c>
      <c r="O46">
        <v>-4.108282</v>
      </c>
      <c r="P46">
        <v>0.69099957629999997</v>
      </c>
      <c r="Q46">
        <v>1.026076</v>
      </c>
      <c r="R46">
        <v>1.0304819999999999</v>
      </c>
      <c r="S46">
        <v>4.2941899999999998E-3</v>
      </c>
      <c r="T46">
        <v>-0.143979785</v>
      </c>
      <c r="U46">
        <v>0.89600000000000002</v>
      </c>
      <c r="V46">
        <v>0.97299999999999998</v>
      </c>
      <c r="X46" t="s">
        <v>13</v>
      </c>
      <c r="Y46">
        <v>-4.7699999999999996</v>
      </c>
      <c r="Z46">
        <v>-4.0770999999999997</v>
      </c>
      <c r="AA46">
        <v>0.69152000000000002</v>
      </c>
      <c r="AB46">
        <v>-0.14501</v>
      </c>
      <c r="AC46">
        <v>0.91069999999999995</v>
      </c>
      <c r="AD46">
        <v>0.88260000000000005</v>
      </c>
      <c r="AE46">
        <v>-3.0769999999999999E-2</v>
      </c>
      <c r="AF46">
        <v>0.875</v>
      </c>
      <c r="AG46">
        <v>0.99299999999999999</v>
      </c>
      <c r="AI46" t="s">
        <v>13</v>
      </c>
      <c r="AJ46">
        <v>-4.8</v>
      </c>
      <c r="AK46">
        <v>-4.0805999999999996</v>
      </c>
      <c r="AL46">
        <v>0.71869000000000005</v>
      </c>
      <c r="AM46">
        <v>-0.14974999999999999</v>
      </c>
      <c r="AN46">
        <v>1.0595000000000001</v>
      </c>
      <c r="AO46">
        <v>1.0258</v>
      </c>
      <c r="AP46">
        <v>-3.1800000000000002E-2</v>
      </c>
      <c r="AQ46">
        <v>0.88500000000000001</v>
      </c>
      <c r="AR46">
        <v>0.96199999999999997</v>
      </c>
      <c r="AS46" s="14"/>
    </row>
    <row r="47" spans="1:47" x14ac:dyDescent="0.25">
      <c r="A47" s="13"/>
      <c r="B47" t="s">
        <v>14</v>
      </c>
      <c r="C47">
        <v>8.6966999999999999</v>
      </c>
      <c r="D47">
        <v>8.5465619999999998</v>
      </c>
      <c r="E47">
        <v>-0.15013636699999999</v>
      </c>
      <c r="F47">
        <v>0.49522699999999997</v>
      </c>
      <c r="G47">
        <v>0.51566000000000001</v>
      </c>
      <c r="H47">
        <v>4.1259662599999997E-2</v>
      </c>
      <c r="I47">
        <v>-1.7263605000000001E-2</v>
      </c>
      <c r="J47">
        <v>0.95</v>
      </c>
      <c r="K47">
        <v>1</v>
      </c>
      <c r="M47" t="s">
        <v>14</v>
      </c>
      <c r="N47">
        <v>8.7021999999999995</v>
      </c>
      <c r="O47">
        <v>8.5556260000000002</v>
      </c>
      <c r="P47">
        <v>-0.14658091100000001</v>
      </c>
      <c r="Q47">
        <v>0.57508000000000004</v>
      </c>
      <c r="R47">
        <v>0.58588899999999999</v>
      </c>
      <c r="S47">
        <v>1.8795543500000001E-2</v>
      </c>
      <c r="T47">
        <v>-1.6844107000000001E-2</v>
      </c>
      <c r="U47">
        <v>0.94399999999999995</v>
      </c>
      <c r="V47">
        <v>1</v>
      </c>
      <c r="X47" t="s">
        <v>14</v>
      </c>
      <c r="Y47">
        <v>8.6999999999999993</v>
      </c>
      <c r="Z47">
        <v>8.5488</v>
      </c>
      <c r="AA47">
        <v>-0.14791000000000001</v>
      </c>
      <c r="AB47">
        <v>-1.7010000000000001E-2</v>
      </c>
      <c r="AC47">
        <v>0.49940000000000001</v>
      </c>
      <c r="AD47">
        <v>0.51429999999999998</v>
      </c>
      <c r="AE47">
        <v>2.9909999999999999E-2</v>
      </c>
      <c r="AF47">
        <v>0.95099999999999996</v>
      </c>
      <c r="AG47">
        <v>1</v>
      </c>
      <c r="AI47" t="s">
        <v>14</v>
      </c>
      <c r="AJ47">
        <v>8.6999999999999993</v>
      </c>
      <c r="AK47">
        <v>8.5601000000000003</v>
      </c>
      <c r="AL47">
        <v>-0.14207</v>
      </c>
      <c r="AM47">
        <v>-1.6330000000000001E-2</v>
      </c>
      <c r="AN47">
        <v>0.5756</v>
      </c>
      <c r="AO47">
        <v>0.58379999999999999</v>
      </c>
      <c r="AP47">
        <v>1.423E-2</v>
      </c>
      <c r="AQ47">
        <v>0.95099999999999996</v>
      </c>
      <c r="AR47">
        <v>1</v>
      </c>
      <c r="AS47" s="14"/>
    </row>
    <row r="48" spans="1:47" x14ac:dyDescent="0.25">
      <c r="A48" s="13"/>
      <c r="B48" t="s">
        <v>15</v>
      </c>
      <c r="C48">
        <v>-1.6103000000000001</v>
      </c>
      <c r="D48">
        <v>-1.549895</v>
      </c>
      <c r="E48">
        <v>6.03999432E-2</v>
      </c>
      <c r="F48">
        <v>0.545871</v>
      </c>
      <c r="G48">
        <v>0.54312000000000005</v>
      </c>
      <c r="H48">
        <v>-5.0395650000000002E-3</v>
      </c>
      <c r="I48">
        <v>-3.7508630000000001E-2</v>
      </c>
      <c r="J48">
        <v>0.94399999999999995</v>
      </c>
      <c r="K48">
        <v>0.81100000000000005</v>
      </c>
      <c r="M48" t="s">
        <v>15</v>
      </c>
      <c r="N48">
        <v>-1.5806</v>
      </c>
      <c r="O48">
        <v>-1.767363</v>
      </c>
      <c r="P48">
        <v>-0.18673695700000001</v>
      </c>
      <c r="Q48">
        <v>0.66237699999999999</v>
      </c>
      <c r="R48">
        <v>0.66150600000000004</v>
      </c>
      <c r="S48">
        <v>-1.315292E-3</v>
      </c>
      <c r="T48">
        <v>0.11814114620000001</v>
      </c>
      <c r="U48">
        <v>0.94</v>
      </c>
      <c r="V48">
        <v>0.76400000000000001</v>
      </c>
      <c r="X48" t="s">
        <v>15</v>
      </c>
      <c r="Y48">
        <v>-1.61</v>
      </c>
      <c r="Z48">
        <v>-1.5824</v>
      </c>
      <c r="AA48">
        <v>2.7890000000000002E-2</v>
      </c>
      <c r="AB48">
        <v>-1.7319999999999999E-2</v>
      </c>
      <c r="AC48">
        <v>0.55310000000000004</v>
      </c>
      <c r="AD48">
        <v>0.54159999999999997</v>
      </c>
      <c r="AE48">
        <v>-2.0840000000000001E-2</v>
      </c>
      <c r="AF48">
        <v>0.94699999999999995</v>
      </c>
      <c r="AG48">
        <v>0.82099999999999995</v>
      </c>
      <c r="AI48" t="s">
        <v>15</v>
      </c>
      <c r="AJ48">
        <v>-1.58</v>
      </c>
      <c r="AK48">
        <v>-1.7923</v>
      </c>
      <c r="AL48">
        <v>-0.21168000000000001</v>
      </c>
      <c r="AM48">
        <v>0.13392000000000001</v>
      </c>
      <c r="AN48">
        <v>0.67310000000000003</v>
      </c>
      <c r="AO48">
        <v>0.65820000000000001</v>
      </c>
      <c r="AP48">
        <v>-2.214E-2</v>
      </c>
      <c r="AQ48">
        <v>0.92600000000000005</v>
      </c>
      <c r="AR48">
        <v>0.77900000000000003</v>
      </c>
      <c r="AS48" s="14"/>
    </row>
    <row r="49" spans="1:45" x14ac:dyDescent="0.25">
      <c r="A49" s="13"/>
      <c r="B49" t="s">
        <v>16</v>
      </c>
      <c r="C49">
        <v>-7.9151999999999996</v>
      </c>
      <c r="D49">
        <v>-8.0621609999999997</v>
      </c>
      <c r="E49">
        <v>-0.14698552400000001</v>
      </c>
      <c r="F49">
        <v>0.67940699999999998</v>
      </c>
      <c r="G49">
        <v>0.68544000000000005</v>
      </c>
      <c r="H49">
        <v>8.8786851000000003E-3</v>
      </c>
      <c r="I49">
        <v>1.8570090000000001E-2</v>
      </c>
      <c r="J49">
        <v>0.95</v>
      </c>
      <c r="K49">
        <v>1</v>
      </c>
      <c r="M49" t="s">
        <v>16</v>
      </c>
      <c r="N49">
        <v>-7.7763999999999998</v>
      </c>
      <c r="O49">
        <v>-7.998583</v>
      </c>
      <c r="P49">
        <v>-0.22215445</v>
      </c>
      <c r="Q49">
        <v>0.769069</v>
      </c>
      <c r="R49">
        <v>0.770903</v>
      </c>
      <c r="S49">
        <v>2.3853199000000002E-3</v>
      </c>
      <c r="T49">
        <v>2.85676692E-2</v>
      </c>
      <c r="U49">
        <v>0.94299999999999995</v>
      </c>
      <c r="V49">
        <v>1</v>
      </c>
      <c r="X49" t="s">
        <v>16</v>
      </c>
      <c r="Y49">
        <v>-7.92</v>
      </c>
      <c r="Z49">
        <v>-8.0507000000000009</v>
      </c>
      <c r="AA49">
        <v>-0.13550000000000001</v>
      </c>
      <c r="AB49">
        <v>1.712E-2</v>
      </c>
      <c r="AC49">
        <v>0.70820000000000005</v>
      </c>
      <c r="AD49">
        <v>0.68459999999999999</v>
      </c>
      <c r="AE49">
        <v>-3.3270000000000001E-2</v>
      </c>
      <c r="AF49">
        <v>0.93500000000000005</v>
      </c>
      <c r="AG49">
        <v>1</v>
      </c>
      <c r="AI49" t="s">
        <v>16</v>
      </c>
      <c r="AJ49">
        <v>-7.78</v>
      </c>
      <c r="AK49">
        <v>-7.9619</v>
      </c>
      <c r="AL49">
        <v>-0.18546000000000001</v>
      </c>
      <c r="AM49">
        <v>2.385E-2</v>
      </c>
      <c r="AN49">
        <v>0.81259999999999999</v>
      </c>
      <c r="AO49">
        <v>0.76939999999999997</v>
      </c>
      <c r="AP49">
        <v>-5.3179999999999998E-2</v>
      </c>
      <c r="AQ49">
        <v>0.94099999999999995</v>
      </c>
      <c r="AR49">
        <v>1</v>
      </c>
      <c r="AS49" s="14"/>
    </row>
    <row r="50" spans="1:45" x14ac:dyDescent="0.25">
      <c r="A50" s="13"/>
      <c r="B50" t="s">
        <v>17</v>
      </c>
      <c r="C50">
        <v>5.8681000000000001</v>
      </c>
      <c r="D50">
        <v>5.8794630000000003</v>
      </c>
      <c r="E50">
        <v>1.1324400700000001E-2</v>
      </c>
      <c r="F50">
        <v>3.6452999999999999E-2</v>
      </c>
      <c r="G50">
        <v>4.0252000000000003E-2</v>
      </c>
      <c r="H50">
        <v>0.1042292804</v>
      </c>
      <c r="I50">
        <v>1.9298112000000001E-3</v>
      </c>
      <c r="J50">
        <v>0.96</v>
      </c>
      <c r="K50">
        <v>1</v>
      </c>
      <c r="M50" t="s">
        <v>17</v>
      </c>
      <c r="N50">
        <v>5.8643999999999998</v>
      </c>
      <c r="O50">
        <v>5.8617540000000004</v>
      </c>
      <c r="P50">
        <v>-2.6563060000000002E-3</v>
      </c>
      <c r="Q50">
        <v>3.5139999999999998E-2</v>
      </c>
      <c r="R50">
        <v>3.9093999999999997E-2</v>
      </c>
      <c r="S50">
        <v>0.1125358419</v>
      </c>
      <c r="T50">
        <v>-4.5295399999999999E-4</v>
      </c>
      <c r="U50">
        <v>0.97499999999999998</v>
      </c>
      <c r="V50">
        <v>1</v>
      </c>
      <c r="X50" t="s">
        <v>17</v>
      </c>
      <c r="Y50">
        <v>5.87</v>
      </c>
      <c r="Z50">
        <v>5.8776999999999999</v>
      </c>
      <c r="AA50">
        <v>9.5399999999999999E-3</v>
      </c>
      <c r="AB50">
        <v>1.6299999999999999E-3</v>
      </c>
      <c r="AC50">
        <v>3.6200000000000003E-2</v>
      </c>
      <c r="AD50">
        <v>4.0099999999999997E-2</v>
      </c>
      <c r="AE50">
        <v>0.10997999999999999</v>
      </c>
      <c r="AF50">
        <v>0.95799999999999996</v>
      </c>
      <c r="AG50">
        <v>1</v>
      </c>
      <c r="AI50" t="s">
        <v>17</v>
      </c>
      <c r="AJ50">
        <v>5.86</v>
      </c>
      <c r="AK50">
        <v>5.8606999999999996</v>
      </c>
      <c r="AL50">
        <v>-3.6800000000000001E-3</v>
      </c>
      <c r="AM50">
        <v>-6.3000000000000003E-4</v>
      </c>
      <c r="AN50">
        <v>3.49E-2</v>
      </c>
      <c r="AO50">
        <v>3.9E-2</v>
      </c>
      <c r="AP50">
        <v>0.11817999999999999</v>
      </c>
      <c r="AQ50">
        <v>0.96799999999999997</v>
      </c>
      <c r="AR50">
        <v>1</v>
      </c>
      <c r="AS50" s="14"/>
    </row>
    <row r="51" spans="1:45" x14ac:dyDescent="0.25">
      <c r="A51" s="13"/>
      <c r="B51" t="s">
        <v>18</v>
      </c>
      <c r="C51">
        <v>2.8400000000000002E-2</v>
      </c>
      <c r="D51">
        <v>3.3569000000000002E-2</v>
      </c>
      <c r="E51">
        <v>5.1521146000000004E-3</v>
      </c>
      <c r="F51">
        <v>2.6169000000000001E-2</v>
      </c>
      <c r="G51">
        <v>2.5779E-2</v>
      </c>
      <c r="H51">
        <v>-1.4898201999999999E-2</v>
      </c>
      <c r="I51">
        <v>0.18130698949999999</v>
      </c>
      <c r="J51">
        <v>0.93899999999999995</v>
      </c>
      <c r="K51">
        <v>0.26700000000000002</v>
      </c>
      <c r="M51" t="s">
        <v>18</v>
      </c>
      <c r="N51">
        <v>3.2099999999999997E-2</v>
      </c>
      <c r="O51">
        <v>5.1773E-2</v>
      </c>
      <c r="P51">
        <v>1.96641462E-2</v>
      </c>
      <c r="Q51">
        <v>2.3789000000000001E-2</v>
      </c>
      <c r="R51">
        <v>2.3092000000000001E-2</v>
      </c>
      <c r="S51">
        <v>-2.9299485E-2</v>
      </c>
      <c r="T51">
        <v>0.61243010909999995</v>
      </c>
      <c r="U51">
        <v>0.85799999999999998</v>
      </c>
      <c r="V51">
        <v>0.63400000000000001</v>
      </c>
      <c r="X51" t="s">
        <v>18</v>
      </c>
      <c r="Y51">
        <v>0.03</v>
      </c>
      <c r="Z51">
        <v>3.4500000000000003E-2</v>
      </c>
      <c r="AA51">
        <v>6.1000000000000004E-3</v>
      </c>
      <c r="AB51">
        <v>0.21451000000000001</v>
      </c>
      <c r="AC51">
        <v>2.7E-2</v>
      </c>
      <c r="AD51">
        <v>2.5499999999999998E-2</v>
      </c>
      <c r="AE51">
        <v>-5.4059999999999997E-2</v>
      </c>
      <c r="AF51">
        <v>0.92600000000000005</v>
      </c>
      <c r="AG51">
        <v>0.29599999999999999</v>
      </c>
      <c r="AI51" t="s">
        <v>18</v>
      </c>
      <c r="AJ51">
        <v>0.03</v>
      </c>
      <c r="AK51">
        <v>5.1999999999999998E-2</v>
      </c>
      <c r="AL51">
        <v>1.9939999999999999E-2</v>
      </c>
      <c r="AM51">
        <v>0.62095</v>
      </c>
      <c r="AN51">
        <v>2.4299999999999999E-2</v>
      </c>
      <c r="AO51">
        <v>2.29E-2</v>
      </c>
      <c r="AP51">
        <v>-5.6390000000000003E-2</v>
      </c>
      <c r="AQ51">
        <v>0.83799999999999997</v>
      </c>
      <c r="AR51">
        <v>0.64</v>
      </c>
      <c r="AS51" s="14"/>
    </row>
    <row r="53" spans="1:45" x14ac:dyDescent="0.25">
      <c r="A53" s="13" t="s">
        <v>97</v>
      </c>
      <c r="B53" s="1" t="s">
        <v>476</v>
      </c>
      <c r="J53" s="12" t="str">
        <f>INDEX('Method Codes'!$B:$B, MATCH(B53, 'Method Codes'!$I:$I,0))</f>
        <v>IND</v>
      </c>
      <c r="K53" s="12" t="str">
        <f>INDEX('Method Codes'!H:H, MATCH(B53, 'Method Codes'!I:I,0))</f>
        <v>5B</v>
      </c>
      <c r="M53" s="1" t="s">
        <v>536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5B</v>
      </c>
      <c r="X53" s="1" t="s">
        <v>114</v>
      </c>
      <c r="AI53" s="1" t="s">
        <v>115</v>
      </c>
      <c r="AS53" s="13" t="s">
        <v>118</v>
      </c>
    </row>
    <row r="54" spans="1:45" x14ac:dyDescent="0.25">
      <c r="A54" s="13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3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105.92166400000001</v>
      </c>
      <c r="E55">
        <v>-1.1557446440000001</v>
      </c>
      <c r="F55">
        <v>1.5583089999999999</v>
      </c>
      <c r="G55">
        <v>1.6273519999999999</v>
      </c>
      <c r="H55">
        <v>4.4306517599999998E-2</v>
      </c>
      <c r="I55">
        <v>-1.0793542999999999E-2</v>
      </c>
      <c r="J55">
        <v>0.90600000000000003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105.021159</v>
      </c>
      <c r="P55">
        <v>-1.7912977640000001</v>
      </c>
      <c r="Q55">
        <v>1.883254</v>
      </c>
      <c r="R55">
        <v>1.981492</v>
      </c>
      <c r="S55">
        <v>5.21644785E-2</v>
      </c>
      <c r="T55">
        <v>-1.6770495E-2</v>
      </c>
      <c r="U55">
        <v>0.877</v>
      </c>
      <c r="V55">
        <v>0</v>
      </c>
      <c r="X55" t="s">
        <v>12</v>
      </c>
      <c r="Y55">
        <v>107.08</v>
      </c>
      <c r="Z55">
        <v>105.969838</v>
      </c>
      <c r="AA55">
        <v>-1.1075699999999999</v>
      </c>
      <c r="AB55">
        <v>-1.034E-2</v>
      </c>
      <c r="AC55">
        <v>1.55521</v>
      </c>
      <c r="AD55">
        <v>1.6248929999999999</v>
      </c>
      <c r="AE55">
        <v>4.4810000000000003E-2</v>
      </c>
      <c r="AF55">
        <v>0.90300000000000002</v>
      </c>
      <c r="AG55">
        <v>0</v>
      </c>
      <c r="AI55" t="s">
        <v>12</v>
      </c>
      <c r="AJ55">
        <v>106.81</v>
      </c>
      <c r="AK55">
        <v>105.034789</v>
      </c>
      <c r="AL55">
        <v>-1.7776700000000001</v>
      </c>
      <c r="AM55">
        <v>-1.6639999999999999E-2</v>
      </c>
      <c r="AN55">
        <v>1.870188</v>
      </c>
      <c r="AO55">
        <v>1.981282</v>
      </c>
      <c r="AP55">
        <v>5.9400000000000001E-2</v>
      </c>
      <c r="AQ55">
        <v>0.86699999999999999</v>
      </c>
      <c r="AR55">
        <v>0</v>
      </c>
      <c r="AS55" s="14"/>
    </row>
    <row r="56" spans="1:45" x14ac:dyDescent="0.25">
      <c r="A56" s="13"/>
      <c r="B56" t="s">
        <v>13</v>
      </c>
      <c r="C56">
        <v>-4.7686000000000002</v>
      </c>
      <c r="D56">
        <v>-4.1647959999999999</v>
      </c>
      <c r="E56">
        <v>0.60384615200000002</v>
      </c>
      <c r="F56">
        <v>0.591526</v>
      </c>
      <c r="G56">
        <v>0.62644</v>
      </c>
      <c r="H56">
        <v>5.9024045400000003E-2</v>
      </c>
      <c r="I56">
        <v>-0.12662854400000001</v>
      </c>
      <c r="J56">
        <v>0.86199999999999999</v>
      </c>
      <c r="K56">
        <v>0</v>
      </c>
      <c r="M56" t="s">
        <v>13</v>
      </c>
      <c r="N56">
        <v>-4.7992999999999997</v>
      </c>
      <c r="O56">
        <v>-4.0795839999999997</v>
      </c>
      <c r="P56">
        <v>0.71969758790000005</v>
      </c>
      <c r="Q56">
        <v>0.68600099999999997</v>
      </c>
      <c r="R56">
        <v>0.73735399999999995</v>
      </c>
      <c r="S56">
        <v>7.48581933E-2</v>
      </c>
      <c r="T56">
        <v>-0.149959432</v>
      </c>
      <c r="U56">
        <v>0.85199999999999998</v>
      </c>
      <c r="V56">
        <v>0</v>
      </c>
      <c r="X56" t="s">
        <v>13</v>
      </c>
      <c r="Y56">
        <v>-4.7699999999999996</v>
      </c>
      <c r="Z56">
        <v>-4.1353989999999996</v>
      </c>
      <c r="AA56">
        <v>0.63324000000000003</v>
      </c>
      <c r="AB56">
        <v>-0.13278999999999999</v>
      </c>
      <c r="AC56">
        <v>0.62066500000000002</v>
      </c>
      <c r="AD56">
        <v>0.62302100000000005</v>
      </c>
      <c r="AE56">
        <v>3.8E-3</v>
      </c>
      <c r="AF56">
        <v>0.82799999999999996</v>
      </c>
      <c r="AG56">
        <v>0</v>
      </c>
      <c r="AI56" t="s">
        <v>13</v>
      </c>
      <c r="AJ56">
        <v>-4.8</v>
      </c>
      <c r="AK56">
        <v>-4.0548690000000001</v>
      </c>
      <c r="AL56">
        <v>0.74441000000000002</v>
      </c>
      <c r="AM56">
        <v>-0.15511</v>
      </c>
      <c r="AN56">
        <v>0.71419600000000005</v>
      </c>
      <c r="AO56">
        <v>0.73433300000000001</v>
      </c>
      <c r="AP56">
        <v>2.819E-2</v>
      </c>
      <c r="AQ56">
        <v>0.83399999999999996</v>
      </c>
      <c r="AR56">
        <v>0</v>
      </c>
      <c r="AS56" s="14"/>
    </row>
    <row r="57" spans="1:45" x14ac:dyDescent="0.25">
      <c r="A57" s="13"/>
      <c r="B57" t="s">
        <v>14</v>
      </c>
      <c r="C57">
        <v>8.6966999999999999</v>
      </c>
      <c r="D57">
        <v>10.730376</v>
      </c>
      <c r="E57">
        <v>2.0336774573</v>
      </c>
      <c r="F57">
        <v>0.364813</v>
      </c>
      <c r="G57">
        <v>0.36187900000000001</v>
      </c>
      <c r="H57">
        <v>-8.0411949999999992E-3</v>
      </c>
      <c r="I57">
        <v>0.23384476509999999</v>
      </c>
      <c r="J57">
        <v>0</v>
      </c>
      <c r="K57">
        <v>0</v>
      </c>
      <c r="M57" t="s">
        <v>14</v>
      </c>
      <c r="N57">
        <v>8.7021999999999995</v>
      </c>
      <c r="O57">
        <v>11.688022</v>
      </c>
      <c r="P57">
        <v>2.9858146944000001</v>
      </c>
      <c r="Q57">
        <v>0.45375100000000002</v>
      </c>
      <c r="R57">
        <v>0.40271000000000001</v>
      </c>
      <c r="S57">
        <v>-0.112485459</v>
      </c>
      <c r="T57">
        <v>0.34311003800000001</v>
      </c>
      <c r="U57">
        <v>0</v>
      </c>
      <c r="V57">
        <v>0</v>
      </c>
      <c r="X57" t="s">
        <v>14</v>
      </c>
      <c r="Y57">
        <v>8.6999999999999993</v>
      </c>
      <c r="Z57">
        <v>10.73222</v>
      </c>
      <c r="AA57">
        <v>2.03552</v>
      </c>
      <c r="AB57">
        <v>0.23405999999999999</v>
      </c>
      <c r="AC57">
        <v>0.37040200000000001</v>
      </c>
      <c r="AD57">
        <v>0.36024099999999998</v>
      </c>
      <c r="AE57">
        <v>-2.743E-2</v>
      </c>
      <c r="AF57">
        <v>0</v>
      </c>
      <c r="AG57">
        <v>0</v>
      </c>
      <c r="AI57" t="s">
        <v>14</v>
      </c>
      <c r="AJ57">
        <v>8.6999999999999993</v>
      </c>
      <c r="AK57">
        <v>11.716396</v>
      </c>
      <c r="AL57">
        <v>3.0141900000000001</v>
      </c>
      <c r="AM57">
        <v>0.34637000000000001</v>
      </c>
      <c r="AN57">
        <v>0.44286300000000001</v>
      </c>
      <c r="AO57">
        <v>0.40095399999999998</v>
      </c>
      <c r="AP57">
        <v>-9.4630000000000006E-2</v>
      </c>
      <c r="AQ57">
        <v>0</v>
      </c>
      <c r="AR57">
        <v>0</v>
      </c>
      <c r="AS57" s="14"/>
    </row>
    <row r="58" spans="1:45" x14ac:dyDescent="0.25">
      <c r="A58" s="13"/>
      <c r="B58" t="s">
        <v>15</v>
      </c>
      <c r="C58">
        <v>-1.6103000000000001</v>
      </c>
      <c r="D58">
        <v>-1.483649</v>
      </c>
      <c r="E58">
        <v>0.12664571999999999</v>
      </c>
      <c r="F58">
        <v>0.38270999999999999</v>
      </c>
      <c r="G58">
        <v>0.39591700000000002</v>
      </c>
      <c r="H58">
        <v>3.4510005000000003E-2</v>
      </c>
      <c r="I58">
        <v>-7.8647548999999997E-2</v>
      </c>
      <c r="J58">
        <v>0.94399999999999995</v>
      </c>
      <c r="K58">
        <v>0</v>
      </c>
      <c r="M58" t="s">
        <v>15</v>
      </c>
      <c r="N58">
        <v>-1.5806</v>
      </c>
      <c r="O58">
        <v>-1.480167</v>
      </c>
      <c r="P58">
        <v>0.10045890659999999</v>
      </c>
      <c r="Q58">
        <v>0.47151399999999999</v>
      </c>
      <c r="R58">
        <v>0.49912499999999999</v>
      </c>
      <c r="S58">
        <v>5.85576836E-2</v>
      </c>
      <c r="T58">
        <v>-6.3556408999999994E-2</v>
      </c>
      <c r="U58">
        <v>0.95899999999999996</v>
      </c>
      <c r="V58">
        <v>0</v>
      </c>
      <c r="X58" t="s">
        <v>15</v>
      </c>
      <c r="Y58">
        <v>-1.61</v>
      </c>
      <c r="Z58">
        <v>-1.5033909999999999</v>
      </c>
      <c r="AA58">
        <v>0.1069</v>
      </c>
      <c r="AB58">
        <v>-6.6390000000000005E-2</v>
      </c>
      <c r="AC58">
        <v>0.37906899999999999</v>
      </c>
      <c r="AD58">
        <v>0.39484200000000003</v>
      </c>
      <c r="AE58">
        <v>4.1610000000000001E-2</v>
      </c>
      <c r="AF58">
        <v>0.94699999999999995</v>
      </c>
      <c r="AG58">
        <v>0</v>
      </c>
      <c r="AI58" t="s">
        <v>15</v>
      </c>
      <c r="AJ58">
        <v>-1.58</v>
      </c>
      <c r="AK58">
        <v>-1.4923280000000001</v>
      </c>
      <c r="AL58">
        <v>8.8300000000000003E-2</v>
      </c>
      <c r="AM58">
        <v>-5.586E-2</v>
      </c>
      <c r="AN58">
        <v>0.47375899999999999</v>
      </c>
      <c r="AO58">
        <v>0.49694500000000003</v>
      </c>
      <c r="AP58">
        <v>4.8939999999999997E-2</v>
      </c>
      <c r="AQ58">
        <v>0.96399999999999997</v>
      </c>
      <c r="AR58">
        <v>0</v>
      </c>
      <c r="AS58" s="14"/>
    </row>
    <row r="59" spans="1:45" x14ac:dyDescent="0.25">
      <c r="A59" s="13"/>
      <c r="B59" t="s">
        <v>16</v>
      </c>
      <c r="C59">
        <v>-7.9151999999999996</v>
      </c>
      <c r="D59">
        <v>-9.7128409999999992</v>
      </c>
      <c r="E59">
        <v>-1.7976655239999999</v>
      </c>
      <c r="F59">
        <v>0.41716199999999998</v>
      </c>
      <c r="G59">
        <v>0.43060599999999999</v>
      </c>
      <c r="H59">
        <v>3.2227715099999998E-2</v>
      </c>
      <c r="I59">
        <v>0.22711631509999999</v>
      </c>
      <c r="J59">
        <v>1.4999999999999999E-2</v>
      </c>
      <c r="K59">
        <v>0</v>
      </c>
      <c r="M59" t="s">
        <v>16</v>
      </c>
      <c r="N59">
        <v>-7.7763999999999998</v>
      </c>
      <c r="O59">
        <v>-10.465213</v>
      </c>
      <c r="P59">
        <v>-2.688784053</v>
      </c>
      <c r="Q59">
        <v>0.47934300000000002</v>
      </c>
      <c r="R59">
        <v>0.47693400000000002</v>
      </c>
      <c r="S59">
        <v>-5.02587E-3</v>
      </c>
      <c r="T59">
        <v>0.34576076770000003</v>
      </c>
      <c r="U59">
        <v>0</v>
      </c>
      <c r="V59">
        <v>0</v>
      </c>
      <c r="X59" t="s">
        <v>16</v>
      </c>
      <c r="Y59">
        <v>-7.92</v>
      </c>
      <c r="Z59">
        <v>-9.7241599999999995</v>
      </c>
      <c r="AA59">
        <v>-1.80898</v>
      </c>
      <c r="AB59">
        <v>0.22855</v>
      </c>
      <c r="AC59">
        <v>0.43256299999999998</v>
      </c>
      <c r="AD59">
        <v>0.43119200000000002</v>
      </c>
      <c r="AE59">
        <v>-3.1700000000000001E-3</v>
      </c>
      <c r="AF59">
        <v>1.6E-2</v>
      </c>
      <c r="AG59">
        <v>0</v>
      </c>
      <c r="AI59" t="s">
        <v>16</v>
      </c>
      <c r="AJ59">
        <v>-7.78</v>
      </c>
      <c r="AK59">
        <v>-10.483279</v>
      </c>
      <c r="AL59">
        <v>-2.7068500000000002</v>
      </c>
      <c r="AM59">
        <v>0.34808</v>
      </c>
      <c r="AN59">
        <v>0.51763199999999998</v>
      </c>
      <c r="AO59">
        <v>0.47689799999999999</v>
      </c>
      <c r="AP59">
        <v>-7.8689999999999996E-2</v>
      </c>
      <c r="AQ59">
        <v>0</v>
      </c>
      <c r="AR59">
        <v>0</v>
      </c>
      <c r="AS59" s="14"/>
    </row>
    <row r="60" spans="1:45" x14ac:dyDescent="0.25">
      <c r="A60" s="13"/>
      <c r="B60" t="s">
        <v>17</v>
      </c>
      <c r="C60">
        <v>5.8681000000000001</v>
      </c>
      <c r="D60">
        <v>5.7896720000000004</v>
      </c>
      <c r="E60">
        <v>-7.8467185999999994E-2</v>
      </c>
      <c r="F60">
        <v>2.9162E-2</v>
      </c>
      <c r="G60">
        <v>3.0915999999999999E-2</v>
      </c>
      <c r="H60">
        <v>6.0135608200000003E-2</v>
      </c>
      <c r="I60">
        <v>-1.3371733E-2</v>
      </c>
      <c r="J60">
        <v>0.29599999999999999</v>
      </c>
      <c r="K60">
        <v>0</v>
      </c>
      <c r="M60" t="s">
        <v>17</v>
      </c>
      <c r="N60">
        <v>5.8643999999999998</v>
      </c>
      <c r="O60">
        <v>5.8052609999999998</v>
      </c>
      <c r="P60">
        <v>-5.9149529999999999E-2</v>
      </c>
      <c r="Q60">
        <v>2.5776E-2</v>
      </c>
      <c r="R60">
        <v>2.8104000000000001E-2</v>
      </c>
      <c r="S60">
        <v>9.0299578000000005E-2</v>
      </c>
      <c r="T60">
        <v>-1.0086184999999999E-2</v>
      </c>
      <c r="U60">
        <v>0.46200000000000002</v>
      </c>
      <c r="V60">
        <v>0</v>
      </c>
      <c r="X60" t="s">
        <v>17</v>
      </c>
      <c r="Y60">
        <v>5.87</v>
      </c>
      <c r="Z60">
        <v>5.787757</v>
      </c>
      <c r="AA60">
        <v>-8.0379999999999993E-2</v>
      </c>
      <c r="AB60">
        <v>-1.37E-2</v>
      </c>
      <c r="AC60">
        <v>2.8240999999999999E-2</v>
      </c>
      <c r="AD60">
        <v>3.0658999999999999E-2</v>
      </c>
      <c r="AE60">
        <v>8.5620000000000002E-2</v>
      </c>
      <c r="AF60">
        <v>0.26600000000000001</v>
      </c>
      <c r="AG60">
        <v>0</v>
      </c>
      <c r="AI60" t="s">
        <v>17</v>
      </c>
      <c r="AJ60">
        <v>5.86</v>
      </c>
      <c r="AK60">
        <v>5.8033330000000003</v>
      </c>
      <c r="AL60">
        <v>-6.1080000000000002E-2</v>
      </c>
      <c r="AM60">
        <v>-1.0410000000000001E-2</v>
      </c>
      <c r="AN60">
        <v>2.4871999999999998E-2</v>
      </c>
      <c r="AO60">
        <v>2.7986E-2</v>
      </c>
      <c r="AP60">
        <v>0.12523000000000001</v>
      </c>
      <c r="AQ60">
        <v>0.41699999999999998</v>
      </c>
      <c r="AR60">
        <v>0</v>
      </c>
      <c r="AS60" s="14"/>
    </row>
    <row r="61" spans="1:45" x14ac:dyDescent="0.25">
      <c r="A61" s="13"/>
      <c r="B61" t="s">
        <v>18</v>
      </c>
      <c r="C61">
        <v>2.8400000000000002E-2</v>
      </c>
      <c r="D61">
        <v>2.4070000000000001E-2</v>
      </c>
      <c r="E61">
        <v>-4.3463410000000001E-3</v>
      </c>
      <c r="F61">
        <v>1.8568000000000001E-2</v>
      </c>
      <c r="G61">
        <v>2.1632999999999999E-2</v>
      </c>
      <c r="H61">
        <v>0.16501622399999999</v>
      </c>
      <c r="I61">
        <v>-0.152951169</v>
      </c>
      <c r="J61">
        <v>0.96499999999999997</v>
      </c>
      <c r="K61">
        <v>0</v>
      </c>
      <c r="M61" t="s">
        <v>18</v>
      </c>
      <c r="N61">
        <v>3.2099999999999997E-2</v>
      </c>
      <c r="O61">
        <v>2.9866E-2</v>
      </c>
      <c r="P61">
        <v>-2.2427319999999999E-3</v>
      </c>
      <c r="Q61">
        <v>1.6650000000000002E-2</v>
      </c>
      <c r="R61">
        <v>1.9954E-2</v>
      </c>
      <c r="S61">
        <v>0.19846389859999999</v>
      </c>
      <c r="T61">
        <v>-6.9848769000000005E-2</v>
      </c>
      <c r="U61">
        <v>0.98099999999999998</v>
      </c>
      <c r="V61">
        <v>0</v>
      </c>
      <c r="X61" t="s">
        <v>18</v>
      </c>
      <c r="Y61">
        <v>0.03</v>
      </c>
      <c r="Z61">
        <v>2.4948999999999999E-2</v>
      </c>
      <c r="AA61">
        <v>-3.47E-3</v>
      </c>
      <c r="AB61">
        <v>-0.12203</v>
      </c>
      <c r="AC61">
        <v>1.8897000000000001E-2</v>
      </c>
      <c r="AD61">
        <v>2.1578E-2</v>
      </c>
      <c r="AE61">
        <v>0.14185</v>
      </c>
      <c r="AF61">
        <v>0.97299999999999998</v>
      </c>
      <c r="AG61">
        <v>0</v>
      </c>
      <c r="AI61" t="s">
        <v>18</v>
      </c>
      <c r="AJ61">
        <v>0.03</v>
      </c>
      <c r="AK61">
        <v>3.0626E-2</v>
      </c>
      <c r="AL61">
        <v>-1.48E-3</v>
      </c>
      <c r="AM61">
        <v>-4.616E-2</v>
      </c>
      <c r="AN61">
        <v>1.6962000000000001E-2</v>
      </c>
      <c r="AO61">
        <v>1.9949999999999999E-2</v>
      </c>
      <c r="AP61">
        <v>0.17613000000000001</v>
      </c>
      <c r="AQ61">
        <v>0.98099999999999998</v>
      </c>
      <c r="AR61">
        <v>0</v>
      </c>
      <c r="AS61" s="14"/>
    </row>
    <row r="63" spans="1:45" x14ac:dyDescent="0.25">
      <c r="A63" s="13" t="s">
        <v>98</v>
      </c>
      <c r="B63" s="1" t="s">
        <v>484</v>
      </c>
      <c r="J63" s="12" t="str">
        <f>INDEX('Method Codes'!$B:$B, MATCH(B63, 'Method Codes'!$I:$I,0))</f>
        <v>IND</v>
      </c>
      <c r="K63" s="12" t="str">
        <f>INDEX('Method Codes'!H:H, MATCH(B63, 'Method Codes'!I:I,0))</f>
        <v>6B</v>
      </c>
      <c r="M63" s="1" t="s">
        <v>543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6B</v>
      </c>
      <c r="X63" s="1" t="s">
        <v>116</v>
      </c>
      <c r="AI63" s="1" t="s">
        <v>117</v>
      </c>
      <c r="AS63" s="13" t="s">
        <v>119</v>
      </c>
    </row>
    <row r="64" spans="1:45" x14ac:dyDescent="0.25">
      <c r="A64" s="13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3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106.572005</v>
      </c>
      <c r="E65">
        <v>-0.50540316900000004</v>
      </c>
      <c r="F65">
        <v>1.7130000000000001</v>
      </c>
      <c r="G65">
        <v>1.6787110000000001</v>
      </c>
      <c r="H65">
        <v>-2.0016655000000001E-2</v>
      </c>
      <c r="I65">
        <v>-4.719979E-3</v>
      </c>
      <c r="J65">
        <v>0.94599999999999995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106.137079</v>
      </c>
      <c r="P65">
        <v>-0.675377322</v>
      </c>
      <c r="Q65">
        <v>2.0536120000000002</v>
      </c>
      <c r="R65">
        <v>2.0170499999999998</v>
      </c>
      <c r="S65">
        <v>-1.7803797999999999E-2</v>
      </c>
      <c r="T65">
        <v>-6.3230200000000004E-3</v>
      </c>
      <c r="U65">
        <v>0.93600000000000005</v>
      </c>
      <c r="V65">
        <v>1</v>
      </c>
      <c r="X65" t="s">
        <v>12</v>
      </c>
      <c r="Y65">
        <v>107.08</v>
      </c>
      <c r="Z65">
        <v>106.64490000000001</v>
      </c>
      <c r="AA65">
        <v>-0.43247000000000002</v>
      </c>
      <c r="AB65">
        <v>-4.0400000000000002E-3</v>
      </c>
      <c r="AC65">
        <v>1.7122999999999999</v>
      </c>
      <c r="AD65">
        <v>1.6742999999999999</v>
      </c>
      <c r="AE65">
        <v>-2.215E-2</v>
      </c>
      <c r="AF65">
        <v>0.94</v>
      </c>
      <c r="AG65">
        <v>1</v>
      </c>
      <c r="AI65" t="s">
        <v>12</v>
      </c>
      <c r="AJ65">
        <v>106.81</v>
      </c>
      <c r="AK65">
        <v>106.2012</v>
      </c>
      <c r="AL65">
        <v>-0.61129</v>
      </c>
      <c r="AM65">
        <v>-5.7200000000000003E-3</v>
      </c>
      <c r="AN65">
        <v>2.0634999999999999</v>
      </c>
      <c r="AO65">
        <v>2.0133999999999999</v>
      </c>
      <c r="AP65">
        <v>-2.4277E-2</v>
      </c>
      <c r="AQ65">
        <v>0.93500000000000005</v>
      </c>
      <c r="AR65">
        <v>1</v>
      </c>
      <c r="AS65" s="14"/>
    </row>
    <row r="66" spans="1:45" x14ac:dyDescent="0.25">
      <c r="A66" s="13"/>
      <c r="B66" t="s">
        <v>13</v>
      </c>
      <c r="C66">
        <v>-4.7686000000000002</v>
      </c>
      <c r="D66">
        <v>-4.0731510000000002</v>
      </c>
      <c r="E66">
        <v>0.69549051139999996</v>
      </c>
      <c r="F66">
        <v>0.638992</v>
      </c>
      <c r="G66">
        <v>0.64232699999999998</v>
      </c>
      <c r="H66">
        <v>5.2187665000000003E-3</v>
      </c>
      <c r="I66">
        <v>-0.14584667100000001</v>
      </c>
      <c r="J66">
        <v>0.79900000000000004</v>
      </c>
      <c r="K66">
        <v>1</v>
      </c>
      <c r="M66" t="s">
        <v>13</v>
      </c>
      <c r="N66">
        <v>-4.7992999999999997</v>
      </c>
      <c r="O66">
        <v>-4.1082000000000001</v>
      </c>
      <c r="P66">
        <v>0.6910823425</v>
      </c>
      <c r="Q66">
        <v>0.74412400000000001</v>
      </c>
      <c r="R66">
        <v>0.74588500000000002</v>
      </c>
      <c r="S66">
        <v>2.3666047999999999E-3</v>
      </c>
      <c r="T66">
        <v>-0.143997031</v>
      </c>
      <c r="U66">
        <v>0.84299999999999997</v>
      </c>
      <c r="V66">
        <v>1</v>
      </c>
      <c r="X66" t="s">
        <v>13</v>
      </c>
      <c r="Y66">
        <v>-4.7699999999999996</v>
      </c>
      <c r="Z66">
        <v>-4.0357000000000003</v>
      </c>
      <c r="AA66">
        <v>0.73292000000000002</v>
      </c>
      <c r="AB66">
        <v>-0.1537</v>
      </c>
      <c r="AC66">
        <v>0.66449999999999998</v>
      </c>
      <c r="AD66">
        <v>0.63980000000000004</v>
      </c>
      <c r="AE66">
        <v>-3.7183000000000001E-2</v>
      </c>
      <c r="AF66">
        <v>0.78</v>
      </c>
      <c r="AG66">
        <v>1</v>
      </c>
      <c r="AI66" t="s">
        <v>13</v>
      </c>
      <c r="AJ66">
        <v>-4.8</v>
      </c>
      <c r="AK66">
        <v>-4.0782999999999996</v>
      </c>
      <c r="AL66">
        <v>0.72099000000000002</v>
      </c>
      <c r="AM66">
        <v>-0.15023</v>
      </c>
      <c r="AN66">
        <v>0.76529999999999998</v>
      </c>
      <c r="AO66">
        <v>0.74399999999999999</v>
      </c>
      <c r="AP66">
        <v>-2.7803999999999999E-2</v>
      </c>
      <c r="AQ66">
        <v>0.83</v>
      </c>
      <c r="AR66">
        <v>1</v>
      </c>
      <c r="AS66" s="14"/>
    </row>
    <row r="67" spans="1:45" x14ac:dyDescent="0.25">
      <c r="A67" s="13"/>
      <c r="B67" t="s">
        <v>14</v>
      </c>
      <c r="C67">
        <v>8.6966999999999999</v>
      </c>
      <c r="D67">
        <v>8.6356359999999999</v>
      </c>
      <c r="E67">
        <v>-6.1062320000000003E-2</v>
      </c>
      <c r="F67">
        <v>0.36940600000000001</v>
      </c>
      <c r="G67">
        <v>0.37961800000000001</v>
      </c>
      <c r="H67">
        <v>2.7645135299999998E-2</v>
      </c>
      <c r="I67">
        <v>-7.021322E-3</v>
      </c>
      <c r="J67">
        <v>0.95399999999999996</v>
      </c>
      <c r="K67">
        <v>1</v>
      </c>
      <c r="M67" t="s">
        <v>14</v>
      </c>
      <c r="N67">
        <v>8.7021999999999995</v>
      </c>
      <c r="O67">
        <v>9.0710820000000005</v>
      </c>
      <c r="P67">
        <v>0.36887422990000002</v>
      </c>
      <c r="Q67">
        <v>0.40449000000000002</v>
      </c>
      <c r="R67">
        <v>0.41888500000000001</v>
      </c>
      <c r="S67">
        <v>3.5586485600000002E-2</v>
      </c>
      <c r="T67">
        <v>4.2388582000000001E-2</v>
      </c>
      <c r="U67">
        <v>0.85499999999999998</v>
      </c>
      <c r="V67">
        <v>1</v>
      </c>
      <c r="X67" t="s">
        <v>14</v>
      </c>
      <c r="Y67">
        <v>8.6999999999999993</v>
      </c>
      <c r="Z67">
        <v>8.6343999999999994</v>
      </c>
      <c r="AA67">
        <v>-6.2309999999999997E-2</v>
      </c>
      <c r="AB67">
        <v>-7.1599999999999997E-3</v>
      </c>
      <c r="AC67">
        <v>0.3614</v>
      </c>
      <c r="AD67">
        <v>0.37869999999999998</v>
      </c>
      <c r="AE67">
        <v>4.7704000000000003E-2</v>
      </c>
      <c r="AF67">
        <v>0.96</v>
      </c>
      <c r="AG67">
        <v>1</v>
      </c>
      <c r="AI67" t="s">
        <v>14</v>
      </c>
      <c r="AJ67">
        <v>8.6999999999999993</v>
      </c>
      <c r="AK67">
        <v>9.0853000000000002</v>
      </c>
      <c r="AL67">
        <v>0.38305</v>
      </c>
      <c r="AM67">
        <v>4.4019999999999997E-2</v>
      </c>
      <c r="AN67">
        <v>0.3931</v>
      </c>
      <c r="AO67">
        <v>0.41810000000000003</v>
      </c>
      <c r="AP67">
        <v>6.3711000000000004E-2</v>
      </c>
      <c r="AQ67">
        <v>0.876</v>
      </c>
      <c r="AR67">
        <v>1</v>
      </c>
      <c r="AS67" s="14"/>
    </row>
    <row r="68" spans="1:45" x14ac:dyDescent="0.25">
      <c r="A68" s="13"/>
      <c r="B68" t="s">
        <v>15</v>
      </c>
      <c r="C68">
        <v>-1.6103000000000001</v>
      </c>
      <c r="D68">
        <v>-1.6426940000000001</v>
      </c>
      <c r="E68">
        <v>-3.2399887000000002E-2</v>
      </c>
      <c r="F68">
        <v>0.41162500000000002</v>
      </c>
      <c r="G68">
        <v>0.40302399999999999</v>
      </c>
      <c r="H68">
        <v>-2.0894678E-2</v>
      </c>
      <c r="I68">
        <v>2.0120472399999999E-2</v>
      </c>
      <c r="J68">
        <v>0.94499999999999995</v>
      </c>
      <c r="K68">
        <v>0.97699999999999998</v>
      </c>
      <c r="M68" t="s">
        <v>15</v>
      </c>
      <c r="N68">
        <v>-1.5806</v>
      </c>
      <c r="O68">
        <v>-1.7181850000000001</v>
      </c>
      <c r="P68">
        <v>-0.13755904199999999</v>
      </c>
      <c r="Q68">
        <v>0.50456100000000004</v>
      </c>
      <c r="R68">
        <v>0.50003399999999998</v>
      </c>
      <c r="S68">
        <v>-8.9729470000000002E-3</v>
      </c>
      <c r="T68">
        <v>8.7028208499999996E-2</v>
      </c>
      <c r="U68">
        <v>0.94</v>
      </c>
      <c r="V68">
        <v>0.92200000000000004</v>
      </c>
      <c r="X68" t="s">
        <v>15</v>
      </c>
      <c r="Y68">
        <v>-1.61</v>
      </c>
      <c r="Z68">
        <v>-1.6715</v>
      </c>
      <c r="AA68">
        <v>-6.1249999999999999E-2</v>
      </c>
      <c r="AB68">
        <v>3.8039999999999997E-2</v>
      </c>
      <c r="AC68">
        <v>0.40289999999999998</v>
      </c>
      <c r="AD68">
        <v>0.40179999999999999</v>
      </c>
      <c r="AE68">
        <v>-2.6069999999999999E-3</v>
      </c>
      <c r="AF68">
        <v>0.94499999999999995</v>
      </c>
      <c r="AG68">
        <v>0.98599999999999999</v>
      </c>
      <c r="AI68" t="s">
        <v>15</v>
      </c>
      <c r="AJ68">
        <v>-1.58</v>
      </c>
      <c r="AK68">
        <v>-1.7434000000000001</v>
      </c>
      <c r="AL68">
        <v>-0.16281999999999999</v>
      </c>
      <c r="AM68">
        <v>0.10301</v>
      </c>
      <c r="AN68">
        <v>0.50309999999999999</v>
      </c>
      <c r="AO68">
        <v>0.49840000000000001</v>
      </c>
      <c r="AP68">
        <v>-9.4079999999999997E-3</v>
      </c>
      <c r="AQ68">
        <v>0.93799999999999994</v>
      </c>
      <c r="AR68">
        <v>0.93600000000000005</v>
      </c>
      <c r="AS68" s="14"/>
    </row>
    <row r="69" spans="1:45" x14ac:dyDescent="0.25">
      <c r="A69" s="13"/>
      <c r="B69" t="s">
        <v>16</v>
      </c>
      <c r="C69">
        <v>-7.9151999999999996</v>
      </c>
      <c r="D69">
        <v>-7.9829809999999997</v>
      </c>
      <c r="E69">
        <v>-6.7805217000000001E-2</v>
      </c>
      <c r="F69">
        <v>0.48119299999999998</v>
      </c>
      <c r="G69">
        <v>0.48674499999999998</v>
      </c>
      <c r="H69">
        <v>1.15386367E-2</v>
      </c>
      <c r="I69">
        <v>8.5664829000000001E-3</v>
      </c>
      <c r="J69">
        <v>0.95199999999999996</v>
      </c>
      <c r="K69">
        <v>1</v>
      </c>
      <c r="M69" t="s">
        <v>16</v>
      </c>
      <c r="N69">
        <v>-7.7763999999999998</v>
      </c>
      <c r="O69">
        <v>-8.2365770000000005</v>
      </c>
      <c r="P69">
        <v>-0.46014832</v>
      </c>
      <c r="Q69">
        <v>0.517065</v>
      </c>
      <c r="R69">
        <v>0.529864</v>
      </c>
      <c r="S69">
        <v>2.4752949199999999E-2</v>
      </c>
      <c r="T69">
        <v>5.9172188299999998E-2</v>
      </c>
      <c r="U69">
        <v>0.86699999999999999</v>
      </c>
      <c r="V69">
        <v>1</v>
      </c>
      <c r="X69" t="s">
        <v>16</v>
      </c>
      <c r="Y69">
        <v>-7.92</v>
      </c>
      <c r="Z69">
        <v>-7.9814999999999996</v>
      </c>
      <c r="AA69">
        <v>-6.6309999999999994E-2</v>
      </c>
      <c r="AB69">
        <v>8.3800000000000003E-3</v>
      </c>
      <c r="AC69">
        <v>0.49859999999999999</v>
      </c>
      <c r="AD69">
        <v>0.48659999999999998</v>
      </c>
      <c r="AE69">
        <v>-2.4042999999999998E-2</v>
      </c>
      <c r="AF69">
        <v>0.94499999999999995</v>
      </c>
      <c r="AG69">
        <v>1</v>
      </c>
      <c r="AI69" t="s">
        <v>16</v>
      </c>
      <c r="AJ69">
        <v>-7.78</v>
      </c>
      <c r="AK69">
        <v>-8.2324999999999999</v>
      </c>
      <c r="AL69">
        <v>-0.45604</v>
      </c>
      <c r="AM69">
        <v>5.8639999999999998E-2</v>
      </c>
      <c r="AN69">
        <v>0.55789999999999995</v>
      </c>
      <c r="AO69">
        <v>0.52959999999999996</v>
      </c>
      <c r="AP69">
        <v>-5.0807999999999999E-2</v>
      </c>
      <c r="AQ69">
        <v>0.85699999999999998</v>
      </c>
      <c r="AR69">
        <v>1</v>
      </c>
      <c r="AS69" s="14"/>
    </row>
    <row r="70" spans="1:45" x14ac:dyDescent="0.25">
      <c r="A70" s="13"/>
      <c r="B70" t="s">
        <v>17</v>
      </c>
      <c r="C70">
        <v>5.8681000000000001</v>
      </c>
      <c r="D70">
        <v>5.7824819999999999</v>
      </c>
      <c r="E70">
        <v>-8.5657273000000006E-2</v>
      </c>
      <c r="F70">
        <v>3.6233000000000001E-2</v>
      </c>
      <c r="G70">
        <v>3.9558000000000003E-2</v>
      </c>
      <c r="H70">
        <v>9.1777988000000005E-2</v>
      </c>
      <c r="I70">
        <v>-1.4597008E-2</v>
      </c>
      <c r="J70">
        <v>0.40600000000000003</v>
      </c>
      <c r="K70">
        <v>1</v>
      </c>
      <c r="M70" t="s">
        <v>17</v>
      </c>
      <c r="N70">
        <v>5.8643999999999998</v>
      </c>
      <c r="O70">
        <v>5.8213840000000001</v>
      </c>
      <c r="P70">
        <v>-4.3027182999999997E-2</v>
      </c>
      <c r="Q70">
        <v>3.3343999999999999E-2</v>
      </c>
      <c r="R70">
        <v>3.5776000000000002E-2</v>
      </c>
      <c r="S70">
        <v>7.2948379800000004E-2</v>
      </c>
      <c r="T70">
        <v>-7.3369999999999998E-3</v>
      </c>
      <c r="U70">
        <v>0.78300000000000003</v>
      </c>
      <c r="V70">
        <v>1</v>
      </c>
      <c r="X70" t="s">
        <v>17</v>
      </c>
      <c r="Y70">
        <v>5.87</v>
      </c>
      <c r="Z70">
        <v>5.7811000000000003</v>
      </c>
      <c r="AA70">
        <v>-8.7010000000000004E-2</v>
      </c>
      <c r="AB70">
        <v>-1.4829999999999999E-2</v>
      </c>
      <c r="AC70">
        <v>3.6700000000000003E-2</v>
      </c>
      <c r="AD70">
        <v>3.9300000000000002E-2</v>
      </c>
      <c r="AE70">
        <v>6.9139999999999993E-2</v>
      </c>
      <c r="AF70">
        <v>0.38800000000000001</v>
      </c>
      <c r="AG70">
        <v>1</v>
      </c>
      <c r="AI70" t="s">
        <v>17</v>
      </c>
      <c r="AJ70">
        <v>5.86</v>
      </c>
      <c r="AK70">
        <v>5.8202999999999996</v>
      </c>
      <c r="AL70">
        <v>-4.4080000000000001E-2</v>
      </c>
      <c r="AM70">
        <v>-7.5199999999999998E-3</v>
      </c>
      <c r="AN70">
        <v>3.3500000000000002E-2</v>
      </c>
      <c r="AO70">
        <v>3.5400000000000001E-2</v>
      </c>
      <c r="AP70">
        <v>5.8589000000000002E-2</v>
      </c>
      <c r="AQ70">
        <v>0.76500000000000001</v>
      </c>
      <c r="AR70">
        <v>1</v>
      </c>
      <c r="AS70" s="14"/>
    </row>
    <row r="71" spans="1:45" x14ac:dyDescent="0.25">
      <c r="A71" s="13"/>
      <c r="B71" t="s">
        <v>18</v>
      </c>
      <c r="C71">
        <v>2.8400000000000002E-2</v>
      </c>
      <c r="D71">
        <v>3.3014000000000002E-2</v>
      </c>
      <c r="E71">
        <v>4.5972377000000004E-3</v>
      </c>
      <c r="F71">
        <v>2.1909999999999999E-2</v>
      </c>
      <c r="G71">
        <v>2.1725999999999999E-2</v>
      </c>
      <c r="H71">
        <v>-8.4240300000000008E-3</v>
      </c>
      <c r="I71">
        <v>0.1617804347</v>
      </c>
      <c r="J71">
        <v>0.94699999999999995</v>
      </c>
      <c r="K71">
        <v>0.33300000000000002</v>
      </c>
      <c r="M71" t="s">
        <v>18</v>
      </c>
      <c r="N71">
        <v>3.2099999999999997E-2</v>
      </c>
      <c r="O71">
        <v>4.1709999999999997E-2</v>
      </c>
      <c r="P71">
        <v>9.6014888999999999E-3</v>
      </c>
      <c r="Q71">
        <v>2.1267999999999999E-2</v>
      </c>
      <c r="R71">
        <v>2.0858999999999999E-2</v>
      </c>
      <c r="S71">
        <v>-1.922194E-2</v>
      </c>
      <c r="T71">
        <v>0.29903362319999999</v>
      </c>
      <c r="U71">
        <v>0.91700000000000004</v>
      </c>
      <c r="V71">
        <v>0.54400000000000004</v>
      </c>
      <c r="X71" t="s">
        <v>18</v>
      </c>
      <c r="Y71">
        <v>0.03</v>
      </c>
      <c r="Z71">
        <v>3.4099999999999998E-2</v>
      </c>
      <c r="AA71">
        <v>5.6699999999999997E-3</v>
      </c>
      <c r="AB71">
        <v>0.19947999999999999</v>
      </c>
      <c r="AC71">
        <v>2.2800000000000001E-2</v>
      </c>
      <c r="AD71">
        <v>2.1499999999999998E-2</v>
      </c>
      <c r="AE71">
        <v>-5.6687000000000001E-2</v>
      </c>
      <c r="AF71">
        <v>0.93100000000000005</v>
      </c>
      <c r="AG71">
        <v>0.38900000000000001</v>
      </c>
      <c r="AI71" t="s">
        <v>18</v>
      </c>
      <c r="AJ71">
        <v>0.03</v>
      </c>
      <c r="AK71">
        <v>4.24E-2</v>
      </c>
      <c r="AL71">
        <v>1.0319999999999999E-2</v>
      </c>
      <c r="AM71">
        <v>0.32139000000000001</v>
      </c>
      <c r="AN71">
        <v>2.18E-2</v>
      </c>
      <c r="AO71">
        <v>2.06E-2</v>
      </c>
      <c r="AP71">
        <v>-5.4036000000000001E-2</v>
      </c>
      <c r="AQ71">
        <v>0.90200000000000002</v>
      </c>
      <c r="AR71">
        <v>0.56000000000000005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791" priority="36" stopIfTrue="1" operator="between">
      <formula>0</formula>
      <formula>0.8</formula>
    </cfRule>
    <cfRule type="cellIs" dxfId="790" priority="35" stopIfTrue="1" operator="between">
      <formula>0.8</formula>
      <formula>0.9</formula>
    </cfRule>
    <cfRule type="cellIs" dxfId="789" priority="34" stopIfTrue="1" operator="between">
      <formula>0</formula>
      <formula>1</formula>
    </cfRule>
    <cfRule type="cellIs" dxfId="788" priority="33" stopIfTrue="1" operator="between">
      <formula>0.9365</formula>
      <formula>0.9635</formula>
    </cfRule>
  </conditionalFormatting>
  <conditionalFormatting sqref="J15:J21">
    <cfRule type="cellIs" dxfId="787" priority="25" stopIfTrue="1" operator="between">
      <formula>0.9365</formula>
      <formula>0.9635</formula>
    </cfRule>
    <cfRule type="cellIs" dxfId="786" priority="26" stopIfTrue="1" operator="between">
      <formula>0</formula>
      <formula>1</formula>
    </cfRule>
    <cfRule type="cellIs" dxfId="785" priority="27" stopIfTrue="1" operator="between">
      <formula>0.8</formula>
      <formula>0.9</formula>
    </cfRule>
    <cfRule type="cellIs" dxfId="784" priority="28" stopIfTrue="1" operator="between">
      <formula>0</formula>
      <formula>0.8</formula>
    </cfRule>
  </conditionalFormatting>
  <conditionalFormatting sqref="J25:J31">
    <cfRule type="cellIs" dxfId="783" priority="29" stopIfTrue="1" operator="between">
      <formula>0.95</formula>
      <formula>1</formula>
    </cfRule>
    <cfRule type="cellIs" dxfId="782" priority="32" stopIfTrue="1" operator="between">
      <formula>0</formula>
      <formula>0.8</formula>
    </cfRule>
    <cfRule type="cellIs" dxfId="781" priority="31" stopIfTrue="1" operator="between">
      <formula>0.8</formula>
      <formula>0.9</formula>
    </cfRule>
    <cfRule type="cellIs" dxfId="780" priority="30" stopIfTrue="1" operator="between">
      <formula>0.9</formula>
      <formula>0.95</formula>
    </cfRule>
  </conditionalFormatting>
  <conditionalFormatting sqref="J35:J41">
    <cfRule type="cellIs" dxfId="779" priority="21" stopIfTrue="1" operator="between">
      <formula>0.9365</formula>
      <formula>0.9635</formula>
    </cfRule>
    <cfRule type="cellIs" dxfId="778" priority="23" stopIfTrue="1" operator="between">
      <formula>0.8</formula>
      <formula>0.9</formula>
    </cfRule>
    <cfRule type="cellIs" dxfId="777" priority="24" stopIfTrue="1" operator="between">
      <formula>0</formula>
      <formula>0.8</formula>
    </cfRule>
    <cfRule type="cellIs" dxfId="776" priority="22" stopIfTrue="1" operator="between">
      <formula>0</formula>
      <formula>1</formula>
    </cfRule>
  </conditionalFormatting>
  <conditionalFormatting sqref="J45:J51">
    <cfRule type="cellIs" dxfId="775" priority="17" stopIfTrue="1" operator="between">
      <formula>0.9365</formula>
      <formula>0.9635</formula>
    </cfRule>
    <cfRule type="cellIs" dxfId="774" priority="18" stopIfTrue="1" operator="between">
      <formula>0</formula>
      <formula>1</formula>
    </cfRule>
    <cfRule type="cellIs" dxfId="773" priority="19" stopIfTrue="1" operator="between">
      <formula>0.8</formula>
      <formula>0.9</formula>
    </cfRule>
    <cfRule type="cellIs" dxfId="772" priority="20" stopIfTrue="1" operator="between">
      <formula>0</formula>
      <formula>0.8</formula>
    </cfRule>
  </conditionalFormatting>
  <conditionalFormatting sqref="J55:J61">
    <cfRule type="cellIs" dxfId="771" priority="15" stopIfTrue="1" operator="between">
      <formula>0.8</formula>
      <formula>0.9</formula>
    </cfRule>
    <cfRule type="cellIs" dxfId="770" priority="13" stopIfTrue="1" operator="between">
      <formula>0.9365</formula>
      <formula>0.9635</formula>
    </cfRule>
    <cfRule type="cellIs" dxfId="769" priority="14" stopIfTrue="1" operator="between">
      <formula>0</formula>
      <formula>1</formula>
    </cfRule>
    <cfRule type="cellIs" dxfId="768" priority="16" stopIfTrue="1" operator="between">
      <formula>0</formula>
      <formula>0.8</formula>
    </cfRule>
  </conditionalFormatting>
  <conditionalFormatting sqref="J65:J71">
    <cfRule type="cellIs" dxfId="767" priority="12" stopIfTrue="1" operator="between">
      <formula>0</formula>
      <formula>0.8</formula>
    </cfRule>
    <cfRule type="cellIs" dxfId="766" priority="11" stopIfTrue="1" operator="between">
      <formula>0.8</formula>
      <formula>0.9</formula>
    </cfRule>
    <cfRule type="cellIs" dxfId="765" priority="10" stopIfTrue="1" operator="between">
      <formula>0</formula>
      <formula>1</formula>
    </cfRule>
    <cfRule type="cellIs" dxfId="764" priority="9" stopIfTrue="1" operator="between">
      <formula>0.9365</formula>
      <formula>0.9635</formula>
    </cfRule>
  </conditionalFormatting>
  <conditionalFormatting sqref="U5:U11">
    <cfRule type="cellIs" dxfId="763" priority="56" stopIfTrue="1" operator="between">
      <formula>0</formula>
      <formula>0.8</formula>
    </cfRule>
    <cfRule type="cellIs" dxfId="762" priority="53" stopIfTrue="1" operator="between">
      <formula>0.9365</formula>
      <formula>0.9635</formula>
    </cfRule>
    <cfRule type="cellIs" dxfId="761" priority="54" stopIfTrue="1" operator="between">
      <formula>0</formula>
      <formula>1</formula>
    </cfRule>
    <cfRule type="cellIs" dxfId="760" priority="55" stopIfTrue="1" operator="between">
      <formula>0.8</formula>
      <formula>0.9</formula>
    </cfRule>
  </conditionalFormatting>
  <conditionalFormatting sqref="U15:U21">
    <cfRule type="cellIs" dxfId="759" priority="45" stopIfTrue="1" operator="between">
      <formula>0.9365</formula>
      <formula>0.9635</formula>
    </cfRule>
    <cfRule type="cellIs" dxfId="758" priority="46" stopIfTrue="1" operator="between">
      <formula>0</formula>
      <formula>1</formula>
    </cfRule>
    <cfRule type="cellIs" dxfId="757" priority="47" stopIfTrue="1" operator="between">
      <formula>0.8</formula>
      <formula>0.9</formula>
    </cfRule>
    <cfRule type="cellIs" dxfId="756" priority="48" stopIfTrue="1" operator="between">
      <formula>0</formula>
      <formula>0.8</formula>
    </cfRule>
  </conditionalFormatting>
  <conditionalFormatting sqref="U25:U31">
    <cfRule type="cellIs" dxfId="755" priority="49" stopIfTrue="1" operator="between">
      <formula>0.95</formula>
      <formula>1</formula>
    </cfRule>
    <cfRule type="cellIs" dxfId="754" priority="50" stopIfTrue="1" operator="between">
      <formula>0.9</formula>
      <formula>0.95</formula>
    </cfRule>
    <cfRule type="cellIs" dxfId="753" priority="51" stopIfTrue="1" operator="between">
      <formula>0.8</formula>
      <formula>0.9</formula>
    </cfRule>
    <cfRule type="cellIs" dxfId="752" priority="52" stopIfTrue="1" operator="between">
      <formula>0</formula>
      <formula>0.8</formula>
    </cfRule>
  </conditionalFormatting>
  <conditionalFormatting sqref="U35:U41">
    <cfRule type="cellIs" dxfId="751" priority="41" stopIfTrue="1" operator="between">
      <formula>0.9365</formula>
      <formula>0.9635</formula>
    </cfRule>
    <cfRule type="cellIs" dxfId="750" priority="43" stopIfTrue="1" operator="between">
      <formula>0.8</formula>
      <formula>0.9</formula>
    </cfRule>
    <cfRule type="cellIs" dxfId="749" priority="44" stopIfTrue="1" operator="between">
      <formula>0</formula>
      <formula>0.8</formula>
    </cfRule>
    <cfRule type="cellIs" dxfId="748" priority="42" stopIfTrue="1" operator="between">
      <formula>0</formula>
      <formula>1</formula>
    </cfRule>
  </conditionalFormatting>
  <conditionalFormatting sqref="U45:U51">
    <cfRule type="cellIs" dxfId="747" priority="37" stopIfTrue="1" operator="between">
      <formula>0.9365</formula>
      <formula>0.9635</formula>
    </cfRule>
    <cfRule type="cellIs" dxfId="746" priority="38" stopIfTrue="1" operator="between">
      <formula>0</formula>
      <formula>1</formula>
    </cfRule>
    <cfRule type="cellIs" dxfId="745" priority="39" stopIfTrue="1" operator="between">
      <formula>0.8</formula>
      <formula>0.9</formula>
    </cfRule>
    <cfRule type="cellIs" dxfId="744" priority="40" stopIfTrue="1" operator="between">
      <formula>0</formula>
      <formula>0.8</formula>
    </cfRule>
  </conditionalFormatting>
  <conditionalFormatting sqref="U55:U61">
    <cfRule type="cellIs" dxfId="743" priority="2" stopIfTrue="1" operator="between">
      <formula>0</formula>
      <formula>1</formula>
    </cfRule>
    <cfRule type="cellIs" dxfId="742" priority="3" stopIfTrue="1" operator="between">
      <formula>0.8</formula>
      <formula>0.9</formula>
    </cfRule>
    <cfRule type="cellIs" dxfId="741" priority="4" stopIfTrue="1" operator="between">
      <formula>0</formula>
      <formula>0.8</formula>
    </cfRule>
    <cfRule type="cellIs" dxfId="740" priority="1" stopIfTrue="1" operator="between">
      <formula>0.9365</formula>
      <formula>0.9635</formula>
    </cfRule>
  </conditionalFormatting>
  <conditionalFormatting sqref="U65:U71">
    <cfRule type="cellIs" dxfId="739" priority="5" stopIfTrue="1" operator="between">
      <formula>0.9365</formula>
      <formula>0.9635</formula>
    </cfRule>
    <cfRule type="cellIs" dxfId="738" priority="6" stopIfTrue="1" operator="between">
      <formula>0</formula>
      <formula>1</formula>
    </cfRule>
    <cfRule type="cellIs" dxfId="737" priority="8" stopIfTrue="1" operator="between">
      <formula>0</formula>
      <formula>0.8</formula>
    </cfRule>
    <cfRule type="cellIs" dxfId="736" priority="7" stopIfTrue="1" operator="between">
      <formula>0.8</formula>
      <formula>0.9</formula>
    </cfRule>
  </conditionalFormatting>
  <conditionalFormatting sqref="AF5:AF11">
    <cfRule type="cellIs" dxfId="735" priority="171" stopIfTrue="1" operator="between">
      <formula>0</formula>
      <formula>1</formula>
    </cfRule>
    <cfRule type="cellIs" dxfId="734" priority="169" stopIfTrue="1" operator="between">
      <formula>0.9365</formula>
      <formula>0.9635</formula>
    </cfRule>
    <cfRule type="cellIs" dxfId="733" priority="170" stopIfTrue="1" operator="between">
      <formula>0.9095</formula>
      <formula>0.9905</formula>
    </cfRule>
    <cfRule type="cellIs" dxfId="732" priority="172" stopIfTrue="1" operator="between">
      <formula>0</formula>
      <formula>0.8</formula>
    </cfRule>
  </conditionalFormatting>
  <conditionalFormatting sqref="AF15:AF21">
    <cfRule type="cellIs" dxfId="731" priority="173" stopIfTrue="1" operator="between">
      <formula>0.9365</formula>
      <formula>0.9635</formula>
    </cfRule>
    <cfRule type="cellIs" dxfId="730" priority="174" stopIfTrue="1" operator="between">
      <formula>0.9095</formula>
      <formula>0.9905</formula>
    </cfRule>
    <cfRule type="cellIs" dxfId="729" priority="175" stopIfTrue="1" operator="between">
      <formula>0</formula>
      <formula>1</formula>
    </cfRule>
    <cfRule type="cellIs" dxfId="728" priority="176" stopIfTrue="1" operator="between">
      <formula>0</formula>
      <formula>0.8</formula>
    </cfRule>
  </conditionalFormatting>
  <conditionalFormatting sqref="AF25:AF31">
    <cfRule type="cellIs" dxfId="727" priority="294" stopIfTrue="1" operator="between">
      <formula>0.9</formula>
      <formula>0.95</formula>
    </cfRule>
    <cfRule type="cellIs" dxfId="726" priority="293" stopIfTrue="1" operator="between">
      <formula>0.95</formula>
      <formula>1</formula>
    </cfRule>
    <cfRule type="cellIs" dxfId="725" priority="296" stopIfTrue="1" operator="between">
      <formula>0</formula>
      <formula>0.8</formula>
    </cfRule>
    <cfRule type="cellIs" dxfId="724" priority="295" stopIfTrue="1" operator="between">
      <formula>0.8</formula>
      <formula>0.9</formula>
    </cfRule>
  </conditionalFormatting>
  <conditionalFormatting sqref="AF35:AF41">
    <cfRule type="cellIs" dxfId="723" priority="177" stopIfTrue="1" operator="between">
      <formula>0.9365</formula>
      <formula>0.9635</formula>
    </cfRule>
    <cfRule type="cellIs" dxfId="722" priority="178" stopIfTrue="1" operator="between">
      <formula>0.9095</formula>
      <formula>0.9905</formula>
    </cfRule>
    <cfRule type="cellIs" dxfId="721" priority="179" stopIfTrue="1" operator="between">
      <formula>0</formula>
      <formula>1</formula>
    </cfRule>
    <cfRule type="cellIs" dxfId="720" priority="180" stopIfTrue="1" operator="between">
      <formula>0</formula>
      <formula>0.8</formula>
    </cfRule>
  </conditionalFormatting>
  <conditionalFormatting sqref="AF45:AF51">
    <cfRule type="cellIs" dxfId="719" priority="189" stopIfTrue="1" operator="between">
      <formula>0.9365</formula>
      <formula>0.9635</formula>
    </cfRule>
    <cfRule type="cellIs" dxfId="718" priority="190" stopIfTrue="1" operator="between">
      <formula>0.9095</formula>
      <formula>0.9905</formula>
    </cfRule>
    <cfRule type="cellIs" dxfId="717" priority="191" stopIfTrue="1" operator="between">
      <formula>0</formula>
      <formula>1</formula>
    </cfRule>
    <cfRule type="cellIs" dxfId="716" priority="192" stopIfTrue="1" operator="between">
      <formula>0</formula>
      <formula>0.8</formula>
    </cfRule>
  </conditionalFormatting>
  <conditionalFormatting sqref="AF55:AF61">
    <cfRule type="cellIs" dxfId="715" priority="197" stopIfTrue="1" operator="between">
      <formula>0.9365</formula>
      <formula>0.9635</formula>
    </cfRule>
    <cfRule type="cellIs" dxfId="714" priority="200" stopIfTrue="1" operator="between">
      <formula>0</formula>
      <formula>0.8</formula>
    </cfRule>
    <cfRule type="cellIs" dxfId="713" priority="199" stopIfTrue="1" operator="between">
      <formula>0</formula>
      <formula>1</formula>
    </cfRule>
    <cfRule type="cellIs" dxfId="712" priority="198" stopIfTrue="1" operator="between">
      <formula>0.9095</formula>
      <formula>0.9905</formula>
    </cfRule>
  </conditionalFormatting>
  <conditionalFormatting sqref="AF65:AF71">
    <cfRule type="cellIs" dxfId="711" priority="204" stopIfTrue="1" operator="between">
      <formula>0</formula>
      <formula>0.8</formula>
    </cfRule>
    <cfRule type="cellIs" dxfId="710" priority="203" stopIfTrue="1" operator="between">
      <formula>0</formula>
      <formula>1</formula>
    </cfRule>
    <cfRule type="cellIs" dxfId="709" priority="202" stopIfTrue="1" operator="between">
      <formula>0.9095</formula>
      <formula>0.9905</formula>
    </cfRule>
    <cfRule type="cellIs" dxfId="708" priority="201" stopIfTrue="1" operator="between">
      <formula>0.9365</formula>
      <formula>0.9635</formula>
    </cfRule>
  </conditionalFormatting>
  <conditionalFormatting sqref="AQ5:AQ11">
    <cfRule type="cellIs" dxfId="707" priority="166" stopIfTrue="1" operator="between">
      <formula>0.9095</formula>
      <formula>0.9905</formula>
    </cfRule>
    <cfRule type="cellIs" dxfId="706" priority="168" stopIfTrue="1" operator="between">
      <formula>0</formula>
      <formula>0.8</formula>
    </cfRule>
    <cfRule type="cellIs" dxfId="705" priority="167" stopIfTrue="1" operator="between">
      <formula>0</formula>
      <formula>1</formula>
    </cfRule>
    <cfRule type="cellIs" dxfId="704" priority="165" stopIfTrue="1" operator="between">
      <formula>0.9365</formula>
      <formula>0.9635</formula>
    </cfRule>
  </conditionalFormatting>
  <conditionalFormatting sqref="AQ15:AQ21">
    <cfRule type="cellIs" dxfId="703" priority="161" stopIfTrue="1" operator="between">
      <formula>0.9365</formula>
      <formula>0.9635</formula>
    </cfRule>
    <cfRule type="cellIs" dxfId="702" priority="164" stopIfTrue="1" operator="between">
      <formula>0</formula>
      <formula>0.8</formula>
    </cfRule>
    <cfRule type="cellIs" dxfId="701" priority="163" stopIfTrue="1" operator="between">
      <formula>0</formula>
      <formula>1</formula>
    </cfRule>
    <cfRule type="cellIs" dxfId="700" priority="162" stopIfTrue="1" operator="between">
      <formula>0.9095</formula>
      <formula>0.9905</formula>
    </cfRule>
  </conditionalFormatting>
  <conditionalFormatting sqref="AQ25:AQ31">
    <cfRule type="cellIs" dxfId="699" priority="273" stopIfTrue="1" operator="between">
      <formula>0.95</formula>
      <formula>1</formula>
    </cfRule>
    <cfRule type="cellIs" dxfId="698" priority="274" stopIfTrue="1" operator="between">
      <formula>0.9</formula>
      <formula>0.95</formula>
    </cfRule>
    <cfRule type="cellIs" dxfId="697" priority="275" stopIfTrue="1" operator="between">
      <formula>0.8</formula>
      <formula>0.9</formula>
    </cfRule>
    <cfRule type="cellIs" dxfId="696" priority="276" stopIfTrue="1" operator="between">
      <formula>0</formula>
      <formula>0.8</formula>
    </cfRule>
  </conditionalFormatting>
  <conditionalFormatting sqref="AQ35:AQ41">
    <cfRule type="cellIs" dxfId="695" priority="160" stopIfTrue="1" operator="between">
      <formula>0</formula>
      <formula>0.8</formula>
    </cfRule>
    <cfRule type="cellIs" dxfId="694" priority="157" stopIfTrue="1" operator="between">
      <formula>0.9365</formula>
      <formula>0.9635</formula>
    </cfRule>
    <cfRule type="cellIs" dxfId="693" priority="159" stopIfTrue="1" operator="between">
      <formula>0</formula>
      <formula>1</formula>
    </cfRule>
    <cfRule type="cellIs" dxfId="692" priority="158" stopIfTrue="1" operator="between">
      <formula>0.9095</formula>
      <formula>0.9905</formula>
    </cfRule>
  </conditionalFormatting>
  <conditionalFormatting sqref="AQ45:AQ51">
    <cfRule type="cellIs" dxfId="691" priority="185" stopIfTrue="1" operator="between">
      <formula>0.9365</formula>
      <formula>0.9635</formula>
    </cfRule>
    <cfRule type="cellIs" dxfId="690" priority="186" stopIfTrue="1" operator="between">
      <formula>0.9095</formula>
      <formula>0.9905</formula>
    </cfRule>
    <cfRule type="cellIs" dxfId="689" priority="187" stopIfTrue="1" operator="between">
      <formula>0</formula>
      <formula>1</formula>
    </cfRule>
    <cfRule type="cellIs" dxfId="688" priority="188" stopIfTrue="1" operator="between">
      <formula>0</formula>
      <formula>0.8</formula>
    </cfRule>
  </conditionalFormatting>
  <conditionalFormatting sqref="AQ55:AQ61">
    <cfRule type="cellIs" dxfId="687" priority="193" stopIfTrue="1" operator="between">
      <formula>0.9365</formula>
      <formula>0.9635</formula>
    </cfRule>
    <cfRule type="cellIs" dxfId="686" priority="194" stopIfTrue="1" operator="between">
      <formula>0.9095</formula>
      <formula>0.9905</formula>
    </cfRule>
    <cfRule type="cellIs" dxfId="685" priority="195" stopIfTrue="1" operator="between">
      <formula>0</formula>
      <formula>1</formula>
    </cfRule>
    <cfRule type="cellIs" dxfId="684" priority="196" stopIfTrue="1" operator="between">
      <formula>0</formula>
      <formula>0.8</formula>
    </cfRule>
  </conditionalFormatting>
  <conditionalFormatting sqref="AQ65:AQ71">
    <cfRule type="cellIs" dxfId="683" priority="205" stopIfTrue="1" operator="between">
      <formula>0.9365</formula>
      <formula>0.9635</formula>
    </cfRule>
    <cfRule type="cellIs" dxfId="682" priority="206" stopIfTrue="1" operator="between">
      <formula>0.9095</formula>
      <formula>0.9905</formula>
    </cfRule>
    <cfRule type="cellIs" dxfId="681" priority="207" stopIfTrue="1" operator="between">
      <formula>0</formula>
      <formula>1</formula>
    </cfRule>
    <cfRule type="cellIs" dxfId="680" priority="208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90BC-38DC-4B37-A7F7-6988602B9267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436</v>
      </c>
      <c r="J3" s="12" t="str">
        <f>INDEX('Method Codes'!$B:$B, MATCH(B3, 'Method Codes'!$I:$I,0))</f>
        <v>IND</v>
      </c>
      <c r="K3" s="12" t="str">
        <f>INDEX('Method Codes'!$H:$H, MATCH(B3, 'Method Codes'!$I:$I,0))</f>
        <v>1D</v>
      </c>
      <c r="M3" s="1" t="s">
        <v>502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1D</v>
      </c>
      <c r="X3" s="1" t="s">
        <v>322</v>
      </c>
      <c r="AI3" s="1" t="s">
        <v>323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">
        <v>107.115291</v>
      </c>
      <c r="E5">
        <v>3.7882011700000003E-2</v>
      </c>
      <c r="F5">
        <v>1.368841</v>
      </c>
      <c r="G5">
        <v>1.3574269999999999</v>
      </c>
      <c r="H5">
        <v>-8.3383669999999993E-3</v>
      </c>
      <c r="I5">
        <v>3.5378159999999999E-4</v>
      </c>
      <c r="J5">
        <v>0.94399999999999995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">
        <v>107.24213899999999</v>
      </c>
      <c r="P5">
        <v>0.42968235179999997</v>
      </c>
      <c r="Q5">
        <v>1.397017</v>
      </c>
      <c r="R5">
        <v>1.393392</v>
      </c>
      <c r="S5">
        <v>-2.5950890000000001E-3</v>
      </c>
      <c r="T5">
        <v>4.0227737999999997E-3</v>
      </c>
      <c r="U5">
        <v>0.93799999999999994</v>
      </c>
      <c r="V5">
        <v>0</v>
      </c>
      <c r="X5" t="s">
        <v>12</v>
      </c>
      <c r="Y5">
        <v>107.08</v>
      </c>
      <c r="Z5">
        <v>107.115291</v>
      </c>
      <c r="AA5">
        <v>3.7881999999999999E-2</v>
      </c>
      <c r="AB5">
        <v>3.5399999999999999E-4</v>
      </c>
      <c r="AC5">
        <v>1.368841</v>
      </c>
      <c r="AD5">
        <v>1.3574269999999999</v>
      </c>
      <c r="AE5">
        <v>-8.3379999999999999E-3</v>
      </c>
      <c r="AF5">
        <v>0.94399999999999995</v>
      </c>
      <c r="AG5">
        <v>0</v>
      </c>
      <c r="AI5" t="s">
        <v>12</v>
      </c>
      <c r="AJ5">
        <v>106.81</v>
      </c>
      <c r="AK5">
        <v>107.24213899999999</v>
      </c>
      <c r="AL5">
        <v>0.42968000000000001</v>
      </c>
      <c r="AM5">
        <v>4.0200000000000001E-3</v>
      </c>
      <c r="AN5">
        <v>1.397017</v>
      </c>
      <c r="AO5">
        <v>1.393392</v>
      </c>
      <c r="AP5">
        <v>-2.5999999999999999E-3</v>
      </c>
      <c r="AQ5">
        <v>0.93799999999999994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-4.7686000000000002</v>
      </c>
      <c r="D6">
        <v>-4.7765170000000001</v>
      </c>
      <c r="E6">
        <v>-7.8750209999999994E-3</v>
      </c>
      <c r="F6">
        <v>0.51303600000000005</v>
      </c>
      <c r="G6">
        <v>0.52059599999999995</v>
      </c>
      <c r="H6">
        <v>1.47368877E-2</v>
      </c>
      <c r="I6">
        <v>1.651418E-3</v>
      </c>
      <c r="J6">
        <v>0.95599999999999996</v>
      </c>
      <c r="K6">
        <v>0</v>
      </c>
      <c r="M6" t="s">
        <v>13</v>
      </c>
      <c r="N6">
        <v>-4.7992999999999997</v>
      </c>
      <c r="O6">
        <v>-4.7528519999999999</v>
      </c>
      <c r="P6">
        <v>4.6429729199999999E-2</v>
      </c>
      <c r="Q6">
        <v>0.56893700000000003</v>
      </c>
      <c r="R6">
        <v>0.56340500000000004</v>
      </c>
      <c r="S6">
        <v>-9.7236300000000005E-3</v>
      </c>
      <c r="T6">
        <v>-9.6743079999999995E-3</v>
      </c>
      <c r="U6">
        <v>0.94799999999999995</v>
      </c>
      <c r="V6">
        <v>0</v>
      </c>
      <c r="X6" t="s">
        <v>13</v>
      </c>
      <c r="Y6">
        <v>-4.7699999999999996</v>
      </c>
      <c r="Z6">
        <v>-4.7765170000000001</v>
      </c>
      <c r="AA6">
        <v>-7.8750000000000001E-3</v>
      </c>
      <c r="AB6">
        <v>1.6509999999999999E-3</v>
      </c>
      <c r="AC6">
        <v>0.51303600000000005</v>
      </c>
      <c r="AD6">
        <v>0.52059599999999995</v>
      </c>
      <c r="AE6">
        <v>1.4737E-2</v>
      </c>
      <c r="AF6">
        <v>0.95599999999999996</v>
      </c>
      <c r="AG6">
        <v>0</v>
      </c>
      <c r="AI6" t="s">
        <v>13</v>
      </c>
      <c r="AJ6">
        <v>-4.8</v>
      </c>
      <c r="AK6">
        <v>-4.7528519999999999</v>
      </c>
      <c r="AL6">
        <v>4.6429999999999999E-2</v>
      </c>
      <c r="AM6">
        <v>-9.6699999999999998E-3</v>
      </c>
      <c r="AN6">
        <v>0.56893700000000003</v>
      </c>
      <c r="AO6">
        <v>0.56340500000000004</v>
      </c>
      <c r="AP6">
        <v>-9.7199999999999995E-3</v>
      </c>
      <c r="AQ6">
        <v>0.94799999999999995</v>
      </c>
      <c r="AR6">
        <v>0</v>
      </c>
      <c r="AS6" s="14"/>
    </row>
    <row r="7" spans="1:47" x14ac:dyDescent="0.25">
      <c r="A7" s="14"/>
      <c r="B7" t="s">
        <v>14</v>
      </c>
      <c r="C7">
        <v>8.6966999999999999</v>
      </c>
      <c r="D7">
        <v>8.6950240000000001</v>
      </c>
      <c r="E7">
        <v>-1.6749340000000001E-3</v>
      </c>
      <c r="F7">
        <v>0.31190600000000002</v>
      </c>
      <c r="G7">
        <v>0.30589899999999998</v>
      </c>
      <c r="H7">
        <v>-1.9259602000000001E-2</v>
      </c>
      <c r="I7">
        <v>-1.9259400000000001E-4</v>
      </c>
      <c r="J7">
        <v>0.94499999999999995</v>
      </c>
      <c r="K7">
        <v>0</v>
      </c>
      <c r="M7" t="s">
        <v>14</v>
      </c>
      <c r="N7">
        <v>8.7021999999999995</v>
      </c>
      <c r="O7">
        <v>8.6991110000000003</v>
      </c>
      <c r="P7">
        <v>-3.096616E-3</v>
      </c>
      <c r="Q7">
        <v>0.35530600000000001</v>
      </c>
      <c r="R7">
        <v>0.34326099999999998</v>
      </c>
      <c r="S7">
        <v>-3.3902441999999998E-2</v>
      </c>
      <c r="T7">
        <v>-3.55843E-4</v>
      </c>
      <c r="U7">
        <v>0.94799999999999995</v>
      </c>
      <c r="V7">
        <v>0</v>
      </c>
      <c r="X7" t="s">
        <v>14</v>
      </c>
      <c r="Y7">
        <v>8.6999999999999993</v>
      </c>
      <c r="Z7">
        <v>8.6950240000000001</v>
      </c>
      <c r="AA7">
        <v>-1.6750000000000001E-3</v>
      </c>
      <c r="AB7">
        <v>-1.93E-4</v>
      </c>
      <c r="AC7">
        <v>0.31190600000000002</v>
      </c>
      <c r="AD7">
        <v>0.30589899999999998</v>
      </c>
      <c r="AE7">
        <v>-1.9259999999999999E-2</v>
      </c>
      <c r="AF7">
        <v>0.94499999999999995</v>
      </c>
      <c r="AG7">
        <v>0</v>
      </c>
      <c r="AI7" t="s">
        <v>14</v>
      </c>
      <c r="AJ7">
        <v>8.6999999999999993</v>
      </c>
      <c r="AK7">
        <v>8.6991110000000003</v>
      </c>
      <c r="AL7">
        <v>-3.0999999999999999E-3</v>
      </c>
      <c r="AM7">
        <v>-3.6000000000000002E-4</v>
      </c>
      <c r="AN7">
        <v>0.35530600000000001</v>
      </c>
      <c r="AO7">
        <v>0.34326099999999998</v>
      </c>
      <c r="AP7">
        <v>-3.39E-2</v>
      </c>
      <c r="AQ7">
        <v>0.94799999999999995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-1.6103000000000001</v>
      </c>
      <c r="D8">
        <v>-1.615143</v>
      </c>
      <c r="E8">
        <v>-4.8481699999999997E-3</v>
      </c>
      <c r="F8">
        <v>0.32748300000000002</v>
      </c>
      <c r="G8">
        <v>0.32931100000000002</v>
      </c>
      <c r="H8">
        <v>5.5815049E-3</v>
      </c>
      <c r="I8">
        <v>3.0107350000000001E-3</v>
      </c>
      <c r="J8">
        <v>0.94899999999999995</v>
      </c>
      <c r="K8">
        <v>0</v>
      </c>
      <c r="M8" t="s">
        <v>15</v>
      </c>
      <c r="N8">
        <v>-1.5806</v>
      </c>
      <c r="O8">
        <v>-1.7395240000000001</v>
      </c>
      <c r="P8">
        <v>-0.158897657</v>
      </c>
      <c r="Q8">
        <v>0.34626499999999999</v>
      </c>
      <c r="R8">
        <v>0.348466</v>
      </c>
      <c r="S8">
        <v>6.3552210999999999E-3</v>
      </c>
      <c r="T8">
        <v>0.1005283132</v>
      </c>
      <c r="U8">
        <v>0.93100000000000005</v>
      </c>
      <c r="V8">
        <v>0</v>
      </c>
      <c r="X8" t="s">
        <v>15</v>
      </c>
      <c r="Y8">
        <v>-1.61</v>
      </c>
      <c r="Z8">
        <v>-1.615143</v>
      </c>
      <c r="AA8">
        <v>-4.8479999999999999E-3</v>
      </c>
      <c r="AB8">
        <v>3.0109999999999998E-3</v>
      </c>
      <c r="AC8">
        <v>0.32748300000000002</v>
      </c>
      <c r="AD8">
        <v>0.32931100000000002</v>
      </c>
      <c r="AE8">
        <v>5.5820000000000002E-3</v>
      </c>
      <c r="AF8">
        <v>0.94899999999999995</v>
      </c>
      <c r="AG8">
        <v>0</v>
      </c>
      <c r="AI8" t="s">
        <v>15</v>
      </c>
      <c r="AJ8">
        <v>-1.58</v>
      </c>
      <c r="AK8">
        <v>-1.7395240000000001</v>
      </c>
      <c r="AL8">
        <v>-0.15890000000000001</v>
      </c>
      <c r="AM8">
        <v>0.10052999999999999</v>
      </c>
      <c r="AN8">
        <v>0.34626499999999999</v>
      </c>
      <c r="AO8">
        <v>0.348466</v>
      </c>
      <c r="AP8">
        <v>6.3600000000000002E-3</v>
      </c>
      <c r="AQ8">
        <v>0.93100000000000005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-7.9151999999999996</v>
      </c>
      <c r="D9">
        <v>-7.929589</v>
      </c>
      <c r="E9">
        <v>-1.4413722E-2</v>
      </c>
      <c r="F9">
        <v>0.36970599999999998</v>
      </c>
      <c r="G9">
        <v>0.37963200000000002</v>
      </c>
      <c r="H9">
        <v>2.6850779200000001E-2</v>
      </c>
      <c r="I9">
        <v>1.8210235999999999E-3</v>
      </c>
      <c r="J9">
        <v>0.95599999999999996</v>
      </c>
      <c r="K9">
        <v>0</v>
      </c>
      <c r="M9" t="s">
        <v>16</v>
      </c>
      <c r="N9">
        <v>-7.7763999999999998</v>
      </c>
      <c r="O9">
        <v>-7.8231450000000002</v>
      </c>
      <c r="P9">
        <v>-4.6716462E-2</v>
      </c>
      <c r="Q9">
        <v>0.41842400000000002</v>
      </c>
      <c r="R9">
        <v>0.42527700000000002</v>
      </c>
      <c r="S9">
        <v>1.6378560399999999E-2</v>
      </c>
      <c r="T9">
        <v>6.0074439999999998E-3</v>
      </c>
      <c r="U9">
        <v>0.94899999999999995</v>
      </c>
      <c r="V9">
        <v>0</v>
      </c>
      <c r="X9" t="s">
        <v>16</v>
      </c>
      <c r="Y9">
        <v>-7.92</v>
      </c>
      <c r="Z9">
        <v>-7.929589</v>
      </c>
      <c r="AA9">
        <v>-1.4414E-2</v>
      </c>
      <c r="AB9">
        <v>1.8209999999999999E-3</v>
      </c>
      <c r="AC9">
        <v>0.36970599999999998</v>
      </c>
      <c r="AD9">
        <v>0.37963200000000002</v>
      </c>
      <c r="AE9">
        <v>2.6851E-2</v>
      </c>
      <c r="AF9">
        <v>0.95599999999999996</v>
      </c>
      <c r="AG9">
        <v>0</v>
      </c>
      <c r="AI9" t="s">
        <v>16</v>
      </c>
      <c r="AJ9">
        <v>-7.78</v>
      </c>
      <c r="AK9">
        <v>-7.8231450000000002</v>
      </c>
      <c r="AL9">
        <v>-4.6719999999999998E-2</v>
      </c>
      <c r="AM9">
        <v>6.0099999999999997E-3</v>
      </c>
      <c r="AN9">
        <v>0.41842400000000002</v>
      </c>
      <c r="AO9">
        <v>0.42527700000000002</v>
      </c>
      <c r="AP9">
        <v>1.6379999999999999E-2</v>
      </c>
      <c r="AQ9">
        <v>0.94899999999999995</v>
      </c>
      <c r="AR9">
        <v>0</v>
      </c>
      <c r="AS9" s="14"/>
    </row>
    <row r="10" spans="1:47" x14ac:dyDescent="0.25">
      <c r="A10" s="14"/>
      <c r="B10" t="s">
        <v>17</v>
      </c>
      <c r="C10">
        <v>5.8681000000000001</v>
      </c>
      <c r="D10">
        <v>5.8698519999999998</v>
      </c>
      <c r="E10">
        <v>1.7133612999999999E-3</v>
      </c>
      <c r="F10">
        <v>2.2494E-2</v>
      </c>
      <c r="G10">
        <v>2.3269999999999999E-2</v>
      </c>
      <c r="H10">
        <v>3.4522599100000002E-2</v>
      </c>
      <c r="I10">
        <v>2.9197689999999998E-4</v>
      </c>
      <c r="J10">
        <v>0.96199999999999997</v>
      </c>
      <c r="K10">
        <v>0</v>
      </c>
      <c r="M10" t="s">
        <v>17</v>
      </c>
      <c r="N10">
        <v>5.8643999999999998</v>
      </c>
      <c r="O10">
        <v>5.8562589999999997</v>
      </c>
      <c r="P10">
        <v>-8.1520929999999991E-3</v>
      </c>
      <c r="Q10">
        <v>2.0716999999999999E-2</v>
      </c>
      <c r="R10">
        <v>2.1791000000000001E-2</v>
      </c>
      <c r="S10">
        <v>5.1848548699999997E-2</v>
      </c>
      <c r="T10">
        <v>-1.390096E-3</v>
      </c>
      <c r="U10">
        <v>0.94899999999999995</v>
      </c>
      <c r="V10">
        <v>0</v>
      </c>
      <c r="X10" t="s">
        <v>17</v>
      </c>
      <c r="Y10">
        <v>5.87</v>
      </c>
      <c r="Z10">
        <v>5.8698519999999998</v>
      </c>
      <c r="AA10">
        <v>1.7129999999999999E-3</v>
      </c>
      <c r="AB10">
        <v>2.92E-4</v>
      </c>
      <c r="AC10">
        <v>2.2494E-2</v>
      </c>
      <c r="AD10">
        <v>2.3269999999999999E-2</v>
      </c>
      <c r="AE10">
        <v>3.4522999999999998E-2</v>
      </c>
      <c r="AF10">
        <v>0.96199999999999997</v>
      </c>
      <c r="AG10">
        <v>0</v>
      </c>
      <c r="AI10" t="s">
        <v>17</v>
      </c>
      <c r="AJ10">
        <v>5.86</v>
      </c>
      <c r="AK10">
        <v>5.8562589999999997</v>
      </c>
      <c r="AL10">
        <v>-8.1499999999999993E-3</v>
      </c>
      <c r="AM10">
        <v>-1.39E-3</v>
      </c>
      <c r="AN10">
        <v>2.0716999999999999E-2</v>
      </c>
      <c r="AO10">
        <v>2.1791000000000001E-2</v>
      </c>
      <c r="AP10">
        <v>5.185E-2</v>
      </c>
      <c r="AQ10">
        <v>0.94899999999999995</v>
      </c>
      <c r="AR10">
        <v>0</v>
      </c>
      <c r="AS10" s="14"/>
    </row>
    <row r="11" spans="1:47" x14ac:dyDescent="0.25">
      <c r="A11" s="14"/>
      <c r="B11" t="s">
        <v>18</v>
      </c>
      <c r="C11">
        <v>2.8400000000000002E-2</v>
      </c>
      <c r="D11">
        <v>2.7800999999999999E-2</v>
      </c>
      <c r="E11">
        <v>-6.1530700000000005E-4</v>
      </c>
      <c r="F11">
        <v>1.6239E-2</v>
      </c>
      <c r="G11">
        <v>1.7066000000000001E-2</v>
      </c>
      <c r="H11">
        <v>5.0961368299999997E-2</v>
      </c>
      <c r="I11">
        <v>-2.1653148000000001E-2</v>
      </c>
      <c r="J11">
        <v>0.96</v>
      </c>
      <c r="K11">
        <v>0</v>
      </c>
      <c r="M11" t="s">
        <v>18</v>
      </c>
      <c r="N11">
        <v>3.2099999999999997E-2</v>
      </c>
      <c r="O11">
        <v>4.1117000000000001E-2</v>
      </c>
      <c r="P11">
        <v>9.0084679000000008E-3</v>
      </c>
      <c r="Q11">
        <v>1.3587999999999999E-2</v>
      </c>
      <c r="R11">
        <v>1.4987E-2</v>
      </c>
      <c r="S11">
        <v>0.1029153432</v>
      </c>
      <c r="T11">
        <v>0.28056427810000001</v>
      </c>
      <c r="U11">
        <v>0.93400000000000005</v>
      </c>
      <c r="V11">
        <v>0</v>
      </c>
      <c r="X11" t="s">
        <v>18</v>
      </c>
      <c r="Y11">
        <v>0.03</v>
      </c>
      <c r="Z11">
        <v>2.7800999999999999E-2</v>
      </c>
      <c r="AA11">
        <v>-6.1499999999999999E-4</v>
      </c>
      <c r="AB11">
        <v>-2.1652999999999999E-2</v>
      </c>
      <c r="AC11">
        <v>1.6239E-2</v>
      </c>
      <c r="AD11">
        <v>1.7066000000000001E-2</v>
      </c>
      <c r="AE11">
        <v>5.0960999999999999E-2</v>
      </c>
      <c r="AF11">
        <v>0.96</v>
      </c>
      <c r="AG11">
        <v>0</v>
      </c>
      <c r="AI11" t="s">
        <v>18</v>
      </c>
      <c r="AJ11">
        <v>0.03</v>
      </c>
      <c r="AK11">
        <v>4.1117000000000001E-2</v>
      </c>
      <c r="AL11">
        <v>9.0100000000000006E-3</v>
      </c>
      <c r="AM11">
        <v>0.28055999999999998</v>
      </c>
      <c r="AN11">
        <v>1.3587999999999999E-2</v>
      </c>
      <c r="AO11">
        <v>1.4987E-2</v>
      </c>
      <c r="AP11">
        <v>0.10292</v>
      </c>
      <c r="AQ11">
        <v>0.93400000000000005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448</v>
      </c>
      <c r="J13" s="12" t="str">
        <f>INDEX('Method Codes'!$B:$B, MATCH(B13, 'Method Codes'!$I:$I,0))</f>
        <v>IND</v>
      </c>
      <c r="K13" s="12" t="str">
        <f>INDEX('Method Codes'!H:H, MATCH(B13, 'Method Codes'!I:I,0))</f>
        <v>2F</v>
      </c>
      <c r="M13" s="1" t="s">
        <v>511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2F</v>
      </c>
      <c r="X13" s="1" t="s">
        <v>324</v>
      </c>
      <c r="AI13" s="1" t="s">
        <v>325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15">
        <v>109.964412</v>
      </c>
      <c r="E15">
        <v>2.8870032955</v>
      </c>
      <c r="F15">
        <v>1.500472</v>
      </c>
      <c r="G15">
        <v>1.496642</v>
      </c>
      <c r="H15">
        <v>-2.552772E-3</v>
      </c>
      <c r="I15">
        <v>2.6961833800000001E-2</v>
      </c>
      <c r="J15">
        <v>0.51500000000000001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15">
        <v>111.009703</v>
      </c>
      <c r="P15">
        <v>4.1972462187000001</v>
      </c>
      <c r="Q15">
        <v>1.4167080000000001</v>
      </c>
      <c r="R15">
        <v>1.4090609999999999</v>
      </c>
      <c r="S15">
        <v>-5.3975350000000002E-3</v>
      </c>
      <c r="T15">
        <v>3.9295475000000003E-2</v>
      </c>
      <c r="U15">
        <v>0.152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-4.7686000000000002</v>
      </c>
      <c r="D16">
        <v>-4.8293210000000002</v>
      </c>
      <c r="E16">
        <v>-6.0679623000000002E-2</v>
      </c>
      <c r="F16">
        <v>0.55565299999999995</v>
      </c>
      <c r="G16">
        <v>0.56003199999999997</v>
      </c>
      <c r="H16">
        <v>7.8805760999999998E-3</v>
      </c>
      <c r="I16">
        <v>1.2724718600000001E-2</v>
      </c>
      <c r="J16">
        <v>0.94499999999999995</v>
      </c>
      <c r="K16">
        <v>1</v>
      </c>
      <c r="M16" t="s">
        <v>13</v>
      </c>
      <c r="N16">
        <v>-4.7992999999999997</v>
      </c>
      <c r="O16">
        <v>-4.766832</v>
      </c>
      <c r="P16">
        <v>3.24499756E-2</v>
      </c>
      <c r="Q16">
        <v>0.57059400000000005</v>
      </c>
      <c r="R16">
        <v>0.56202700000000005</v>
      </c>
      <c r="S16">
        <v>-1.5013989E-2</v>
      </c>
      <c r="T16">
        <v>-6.7614229999999999E-3</v>
      </c>
      <c r="U16">
        <v>0.94799999999999995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25">
      <c r="A17" s="14"/>
      <c r="B17" t="s">
        <v>14</v>
      </c>
      <c r="C17">
        <v>8.6966999999999999</v>
      </c>
      <c r="D17">
        <v>6.6326520000000002</v>
      </c>
      <c r="E17">
        <v>-2.0640464289999998</v>
      </c>
      <c r="F17">
        <v>0.338557</v>
      </c>
      <c r="G17">
        <v>0.33491500000000002</v>
      </c>
      <c r="H17">
        <v>-1.0756369E-2</v>
      </c>
      <c r="I17">
        <v>-0.237336777</v>
      </c>
      <c r="J17">
        <v>0</v>
      </c>
      <c r="K17">
        <v>1</v>
      </c>
      <c r="M17" t="s">
        <v>14</v>
      </c>
      <c r="N17">
        <v>8.7021999999999995</v>
      </c>
      <c r="O17">
        <v>6.0674619999999999</v>
      </c>
      <c r="P17">
        <v>-2.6347449140000001</v>
      </c>
      <c r="Q17">
        <v>0.365257</v>
      </c>
      <c r="R17">
        <v>0.350943</v>
      </c>
      <c r="S17">
        <v>-3.9188501000000001E-2</v>
      </c>
      <c r="T17">
        <v>-0.30276742499999998</v>
      </c>
      <c r="U17">
        <v>0</v>
      </c>
      <c r="V17">
        <v>1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-1.6103000000000001</v>
      </c>
      <c r="D18">
        <v>-2.1317889999999999</v>
      </c>
      <c r="E18">
        <v>-0.52149421100000004</v>
      </c>
      <c r="F18">
        <v>0.35394599999999998</v>
      </c>
      <c r="G18">
        <v>0.360626</v>
      </c>
      <c r="H18">
        <v>1.88727697E-2</v>
      </c>
      <c r="I18">
        <v>0.3238501976</v>
      </c>
      <c r="J18">
        <v>0.71399999999999997</v>
      </c>
      <c r="K18">
        <v>1</v>
      </c>
      <c r="M18" t="s">
        <v>15</v>
      </c>
      <c r="N18">
        <v>-1.5806</v>
      </c>
      <c r="O18">
        <v>-2.4339080000000002</v>
      </c>
      <c r="P18">
        <v>-0.85328250500000002</v>
      </c>
      <c r="Q18">
        <v>0.34596500000000002</v>
      </c>
      <c r="R18">
        <v>0.35034300000000002</v>
      </c>
      <c r="S18">
        <v>1.2654863299999999E-2</v>
      </c>
      <c r="T18">
        <v>0.5398383618</v>
      </c>
      <c r="U18">
        <v>0.31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25">
      <c r="A19" s="14"/>
      <c r="B19" t="s">
        <v>16</v>
      </c>
      <c r="C19">
        <v>-7.9151999999999996</v>
      </c>
      <c r="D19">
        <v>-6.0830419999999998</v>
      </c>
      <c r="E19">
        <v>1.8321336545</v>
      </c>
      <c r="F19">
        <v>0.40888000000000002</v>
      </c>
      <c r="G19">
        <v>0.419101</v>
      </c>
      <c r="H19">
        <v>2.4997273399999999E-2</v>
      </c>
      <c r="I19">
        <v>-0.23147100400000001</v>
      </c>
      <c r="J19">
        <v>0.01</v>
      </c>
      <c r="K19">
        <v>1</v>
      </c>
      <c r="M19" t="s">
        <v>16</v>
      </c>
      <c r="N19">
        <v>-7.7763999999999998</v>
      </c>
      <c r="O19">
        <v>-5.5366669999999996</v>
      </c>
      <c r="P19">
        <v>2.2397620293</v>
      </c>
      <c r="Q19">
        <v>0.43693799999999999</v>
      </c>
      <c r="R19">
        <v>0.435367</v>
      </c>
      <c r="S19">
        <v>-3.5964590000000002E-3</v>
      </c>
      <c r="T19">
        <v>-0.28801935099999998</v>
      </c>
      <c r="U19">
        <v>1E-3</v>
      </c>
      <c r="V19">
        <v>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25">
      <c r="A20" s="14"/>
      <c r="B20" t="s">
        <v>17</v>
      </c>
      <c r="C20">
        <v>5.8681000000000001</v>
      </c>
      <c r="D20">
        <v>5.9656359999999999</v>
      </c>
      <c r="E20">
        <v>9.7496521799999999E-2</v>
      </c>
      <c r="F20">
        <v>2.8582E-2</v>
      </c>
      <c r="G20">
        <v>2.9703E-2</v>
      </c>
      <c r="H20">
        <v>3.9215595499999999E-2</v>
      </c>
      <c r="I20">
        <v>1.6614555600000001E-2</v>
      </c>
      <c r="J20">
        <v>8.4000000000000005E-2</v>
      </c>
      <c r="K20">
        <v>1</v>
      </c>
      <c r="M20" t="s">
        <v>17</v>
      </c>
      <c r="N20">
        <v>5.8643999999999998</v>
      </c>
      <c r="O20">
        <v>5.9269660000000002</v>
      </c>
      <c r="P20">
        <v>6.2554789999999999E-2</v>
      </c>
      <c r="Q20">
        <v>2.545E-2</v>
      </c>
      <c r="R20">
        <v>2.6532E-2</v>
      </c>
      <c r="S20">
        <v>4.2536414500000001E-2</v>
      </c>
      <c r="T20">
        <v>1.066685E-2</v>
      </c>
      <c r="U20">
        <v>0.34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25">
      <c r="A21" s="14"/>
      <c r="B21" t="s">
        <v>18</v>
      </c>
      <c r="C21">
        <v>2.8400000000000002E-2</v>
      </c>
      <c r="D21">
        <v>2.7042E-2</v>
      </c>
      <c r="E21">
        <v>-1.3742229999999999E-3</v>
      </c>
      <c r="F21">
        <v>1.8582000000000001E-2</v>
      </c>
      <c r="G21">
        <v>1.8200000000000001E-2</v>
      </c>
      <c r="H21">
        <v>-2.0529024E-2</v>
      </c>
      <c r="I21">
        <v>-4.8359991999999997E-2</v>
      </c>
      <c r="J21">
        <v>0.94</v>
      </c>
      <c r="K21">
        <v>0.32300000000000001</v>
      </c>
      <c r="M21" t="s">
        <v>18</v>
      </c>
      <c r="N21">
        <v>3.2099999999999997E-2</v>
      </c>
      <c r="O21">
        <v>4.0479000000000001E-2</v>
      </c>
      <c r="P21">
        <v>8.3707543999999995E-3</v>
      </c>
      <c r="Q21">
        <v>1.5606999999999999E-2</v>
      </c>
      <c r="R21">
        <v>1.553E-2</v>
      </c>
      <c r="S21">
        <v>-4.9671760000000002E-3</v>
      </c>
      <c r="T21">
        <v>0.26070300610000002</v>
      </c>
      <c r="U21">
        <v>0.91300000000000003</v>
      </c>
      <c r="V21">
        <v>0.73599999999999999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326</v>
      </c>
      <c r="M23" s="1" t="s">
        <v>327</v>
      </c>
      <c r="X23" s="1" t="s">
        <v>328</v>
      </c>
      <c r="AI23" s="1" t="s">
        <v>329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458</v>
      </c>
      <c r="J33" s="12" t="str">
        <f>INDEX('Method Codes'!$B:$B, MATCH(B33, 'Method Codes'!$I:$I,0))</f>
        <v>IND</v>
      </c>
      <c r="K33" s="12" t="str">
        <f>INDEX('Method Codes'!H:H, MATCH(B33, 'Method Codes'!I:I,0))</f>
        <v>3D</v>
      </c>
      <c r="M33" s="1" t="s">
        <v>520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3D</v>
      </c>
      <c r="X33" s="1" t="s">
        <v>330</v>
      </c>
      <c r="AI33" s="1" t="s">
        <v>331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35">
        <v>106.927712</v>
      </c>
      <c r="E35">
        <v>-0.149696985</v>
      </c>
      <c r="F35">
        <v>2.2742070000000001</v>
      </c>
      <c r="G35">
        <v>2.3754740000000001</v>
      </c>
      <c r="H35">
        <v>4.4528736899999997E-2</v>
      </c>
      <c r="I35">
        <v>-1.3980259999999999E-3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35">
        <v>106.57304999999999</v>
      </c>
      <c r="P35">
        <v>-0.239406799</v>
      </c>
      <c r="Q35">
        <v>2.5500919999999998</v>
      </c>
      <c r="R35">
        <v>2.670639</v>
      </c>
      <c r="S35">
        <v>4.7271661600000001E-2</v>
      </c>
      <c r="T35">
        <v>-2.2413749999999999E-3</v>
      </c>
      <c r="U35">
        <v>0.96399999999999997</v>
      </c>
      <c r="V35">
        <v>0</v>
      </c>
      <c r="X35" t="s">
        <v>12</v>
      </c>
      <c r="Y35">
        <v>107.08</v>
      </c>
      <c r="Z35">
        <v>106.927712</v>
      </c>
      <c r="AA35">
        <v>-0.1497</v>
      </c>
      <c r="AB35">
        <v>-1.4E-3</v>
      </c>
      <c r="AC35">
        <v>2.2742070000000001</v>
      </c>
      <c r="AD35">
        <v>2.3754740000000001</v>
      </c>
      <c r="AE35">
        <v>4.453E-2</v>
      </c>
      <c r="AF35">
        <v>0.95399999999999996</v>
      </c>
      <c r="AG35">
        <v>0</v>
      </c>
      <c r="AI35" t="s">
        <v>12</v>
      </c>
      <c r="AJ35">
        <v>106.81</v>
      </c>
      <c r="AK35">
        <v>106.57304999999999</v>
      </c>
      <c r="AL35">
        <v>-0.23941000000000001</v>
      </c>
      <c r="AM35">
        <v>-2.2399999999999998E-3</v>
      </c>
      <c r="AN35">
        <v>2.5500919999999998</v>
      </c>
      <c r="AO35">
        <v>2.670639</v>
      </c>
      <c r="AP35">
        <v>4.727E-2</v>
      </c>
      <c r="AQ35">
        <v>0.96399999999999997</v>
      </c>
      <c r="AR35">
        <v>0</v>
      </c>
      <c r="AS35" s="14"/>
    </row>
    <row r="36" spans="1:47" x14ac:dyDescent="0.25">
      <c r="A36" s="14"/>
      <c r="B36" t="s">
        <v>13</v>
      </c>
      <c r="C36">
        <v>-4.7686000000000002</v>
      </c>
      <c r="D36">
        <v>-4.8111649999999999</v>
      </c>
      <c r="E36">
        <v>-4.2523441000000002E-2</v>
      </c>
      <c r="F36">
        <v>0.88565199999999999</v>
      </c>
      <c r="G36">
        <v>0.91260399999999997</v>
      </c>
      <c r="H36">
        <v>3.04318796E-2</v>
      </c>
      <c r="I36">
        <v>8.9173068999999997E-3</v>
      </c>
      <c r="J36">
        <v>0.95899999999999996</v>
      </c>
      <c r="K36">
        <v>0</v>
      </c>
      <c r="M36" t="s">
        <v>13</v>
      </c>
      <c r="N36">
        <v>-4.7992999999999997</v>
      </c>
      <c r="O36">
        <v>-4.9709019999999997</v>
      </c>
      <c r="P36">
        <v>-0.17162036899999999</v>
      </c>
      <c r="Q36">
        <v>1.0123420000000001</v>
      </c>
      <c r="R36">
        <v>1.034146</v>
      </c>
      <c r="S36">
        <v>2.1538133500000001E-2</v>
      </c>
      <c r="T36">
        <v>3.5759593399999998E-2</v>
      </c>
      <c r="U36">
        <v>0.95399999999999996</v>
      </c>
      <c r="V36">
        <v>0</v>
      </c>
      <c r="X36" t="s">
        <v>13</v>
      </c>
      <c r="Y36">
        <v>-4.7699999999999996</v>
      </c>
      <c r="Z36">
        <v>-4.8111649999999999</v>
      </c>
      <c r="AA36">
        <v>-4.2520000000000002E-2</v>
      </c>
      <c r="AB36">
        <v>8.9200000000000008E-3</v>
      </c>
      <c r="AC36">
        <v>0.88565199999999999</v>
      </c>
      <c r="AD36">
        <v>0.91260399999999997</v>
      </c>
      <c r="AE36">
        <v>3.0429999999999999E-2</v>
      </c>
      <c r="AF36">
        <v>0.95899999999999996</v>
      </c>
      <c r="AG36">
        <v>0</v>
      </c>
      <c r="AI36" t="s">
        <v>13</v>
      </c>
      <c r="AJ36">
        <v>-4.8</v>
      </c>
      <c r="AK36">
        <v>-4.9709019999999997</v>
      </c>
      <c r="AL36">
        <v>-0.17161999999999999</v>
      </c>
      <c r="AM36">
        <v>3.576E-2</v>
      </c>
      <c r="AN36">
        <v>1.0123420000000001</v>
      </c>
      <c r="AO36">
        <v>1.034146</v>
      </c>
      <c r="AP36">
        <v>2.154E-2</v>
      </c>
      <c r="AQ36">
        <v>0.95399999999999996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8.6966999999999999</v>
      </c>
      <c r="D37">
        <v>8.7034649999999996</v>
      </c>
      <c r="E37">
        <v>6.7664077999999997E-3</v>
      </c>
      <c r="F37">
        <v>0.50508200000000003</v>
      </c>
      <c r="G37">
        <v>0.53189900000000001</v>
      </c>
      <c r="H37">
        <v>5.30946053E-2</v>
      </c>
      <c r="I37">
        <v>7.7804329999999996E-4</v>
      </c>
      <c r="J37">
        <v>0.96399999999999997</v>
      </c>
      <c r="K37">
        <v>0</v>
      </c>
      <c r="M37" t="s">
        <v>14</v>
      </c>
      <c r="N37">
        <v>8.7021999999999995</v>
      </c>
      <c r="O37">
        <v>8.717276</v>
      </c>
      <c r="P37">
        <v>1.50688262E-2</v>
      </c>
      <c r="Q37">
        <v>0.56695600000000002</v>
      </c>
      <c r="R37">
        <v>0.59962000000000004</v>
      </c>
      <c r="S37">
        <v>5.7611561899999997E-2</v>
      </c>
      <c r="T37">
        <v>1.7316097000000001E-3</v>
      </c>
      <c r="U37">
        <v>0.96199999999999997</v>
      </c>
      <c r="V37">
        <v>0</v>
      </c>
      <c r="X37" t="s">
        <v>14</v>
      </c>
      <c r="Y37">
        <v>8.6999999999999993</v>
      </c>
      <c r="Z37">
        <v>8.7034649999999996</v>
      </c>
      <c r="AA37">
        <v>6.77E-3</v>
      </c>
      <c r="AB37">
        <v>7.7999999999999999E-4</v>
      </c>
      <c r="AC37">
        <v>0.50508200000000003</v>
      </c>
      <c r="AD37">
        <v>0.53189900000000001</v>
      </c>
      <c r="AE37">
        <v>5.3089999999999998E-2</v>
      </c>
      <c r="AF37">
        <v>0.96399999999999997</v>
      </c>
      <c r="AG37">
        <v>0</v>
      </c>
      <c r="AI37" t="s">
        <v>14</v>
      </c>
      <c r="AJ37">
        <v>8.6999999999999993</v>
      </c>
      <c r="AK37">
        <v>8.717276</v>
      </c>
      <c r="AL37">
        <v>1.507E-2</v>
      </c>
      <c r="AM37">
        <v>1.73E-3</v>
      </c>
      <c r="AN37">
        <v>0.56695600000000002</v>
      </c>
      <c r="AO37">
        <v>0.59962000000000004</v>
      </c>
      <c r="AP37">
        <v>5.7610000000000001E-2</v>
      </c>
      <c r="AQ37">
        <v>0.96199999999999997</v>
      </c>
      <c r="AR37">
        <v>0</v>
      </c>
      <c r="AS37" s="14"/>
    </row>
    <row r="38" spans="1:47" x14ac:dyDescent="0.25">
      <c r="A38" s="14"/>
      <c r="B38" t="s">
        <v>15</v>
      </c>
      <c r="C38">
        <v>-1.6103000000000001</v>
      </c>
      <c r="D38">
        <v>-1.6623289999999999</v>
      </c>
      <c r="E38">
        <v>-5.2034295000000001E-2</v>
      </c>
      <c r="F38">
        <v>0.60783299999999996</v>
      </c>
      <c r="G38">
        <v>0.615541</v>
      </c>
      <c r="H38">
        <v>1.2681066100000001E-2</v>
      </c>
      <c r="I38">
        <v>3.2313526100000003E-2</v>
      </c>
      <c r="J38">
        <v>0.95799999999999996</v>
      </c>
      <c r="K38">
        <v>0</v>
      </c>
      <c r="M38" t="s">
        <v>15</v>
      </c>
      <c r="N38">
        <v>-1.5806</v>
      </c>
      <c r="O38">
        <v>-1.743222</v>
      </c>
      <c r="P38">
        <v>-0.162596078</v>
      </c>
      <c r="Q38">
        <v>0.70443800000000001</v>
      </c>
      <c r="R38">
        <v>0.70561300000000005</v>
      </c>
      <c r="S38">
        <v>1.6685418E-3</v>
      </c>
      <c r="T38">
        <v>0.1028681588</v>
      </c>
      <c r="U38">
        <v>0.95199999999999996</v>
      </c>
      <c r="V38">
        <v>0</v>
      </c>
      <c r="X38" t="s">
        <v>15</v>
      </c>
      <c r="Y38">
        <v>-1.61</v>
      </c>
      <c r="Z38">
        <v>-1.6623289999999999</v>
      </c>
      <c r="AA38">
        <v>-5.203E-2</v>
      </c>
      <c r="AB38">
        <v>3.2309999999999998E-2</v>
      </c>
      <c r="AC38">
        <v>0.60783299999999996</v>
      </c>
      <c r="AD38">
        <v>0.615541</v>
      </c>
      <c r="AE38">
        <v>1.268E-2</v>
      </c>
      <c r="AF38">
        <v>0.95799999999999996</v>
      </c>
      <c r="AG38">
        <v>0</v>
      </c>
      <c r="AI38" t="s">
        <v>15</v>
      </c>
      <c r="AJ38">
        <v>-1.58</v>
      </c>
      <c r="AK38">
        <v>-1.743222</v>
      </c>
      <c r="AL38">
        <v>-0.16259999999999999</v>
      </c>
      <c r="AM38">
        <v>0.10287</v>
      </c>
      <c r="AN38">
        <v>0.70443800000000001</v>
      </c>
      <c r="AO38">
        <v>0.70561300000000005</v>
      </c>
      <c r="AP38">
        <v>1.67E-3</v>
      </c>
      <c r="AQ38">
        <v>0.95199999999999996</v>
      </c>
      <c r="AR38">
        <v>0</v>
      </c>
      <c r="AS38" s="14"/>
    </row>
    <row r="39" spans="1:47" x14ac:dyDescent="0.25">
      <c r="A39" s="14"/>
      <c r="B39" t="s">
        <v>16</v>
      </c>
      <c r="C39">
        <v>-7.9151999999999996</v>
      </c>
      <c r="D39">
        <v>-7.9501799999999996</v>
      </c>
      <c r="E39">
        <v>-3.5004090000000002E-2</v>
      </c>
      <c r="F39">
        <v>0.64644500000000005</v>
      </c>
      <c r="G39">
        <v>0.66534400000000005</v>
      </c>
      <c r="H39">
        <v>2.9236404399999999E-2</v>
      </c>
      <c r="I39">
        <v>4.4224021999999998E-3</v>
      </c>
      <c r="J39">
        <v>0.95199999999999996</v>
      </c>
      <c r="K39">
        <v>0</v>
      </c>
      <c r="M39" t="s">
        <v>16</v>
      </c>
      <c r="N39">
        <v>-7.7763999999999998</v>
      </c>
      <c r="O39">
        <v>-7.8304580000000001</v>
      </c>
      <c r="P39">
        <v>-5.4028591000000001E-2</v>
      </c>
      <c r="Q39">
        <v>0.76052600000000004</v>
      </c>
      <c r="R39">
        <v>0.75423600000000002</v>
      </c>
      <c r="S39">
        <v>-8.2716130000000006E-3</v>
      </c>
      <c r="T39">
        <v>6.9477380000000002E-3</v>
      </c>
      <c r="U39">
        <v>0.95399999999999996</v>
      </c>
      <c r="V39">
        <v>0</v>
      </c>
      <c r="X39" t="s">
        <v>16</v>
      </c>
      <c r="Y39">
        <v>-7.92</v>
      </c>
      <c r="Z39">
        <v>-7.9501799999999996</v>
      </c>
      <c r="AA39">
        <v>-3.5000000000000003E-2</v>
      </c>
      <c r="AB39">
        <v>4.4200000000000003E-3</v>
      </c>
      <c r="AC39">
        <v>0.64644500000000005</v>
      </c>
      <c r="AD39">
        <v>0.66534400000000005</v>
      </c>
      <c r="AE39">
        <v>2.9239999999999999E-2</v>
      </c>
      <c r="AF39">
        <v>0.95199999999999996</v>
      </c>
      <c r="AG39">
        <v>0</v>
      </c>
      <c r="AI39" t="s">
        <v>16</v>
      </c>
      <c r="AJ39">
        <v>-7.78</v>
      </c>
      <c r="AK39">
        <v>-7.8304580000000001</v>
      </c>
      <c r="AL39">
        <v>-5.4030000000000002E-2</v>
      </c>
      <c r="AM39">
        <v>6.9499999999999996E-3</v>
      </c>
      <c r="AN39">
        <v>0.76052600000000004</v>
      </c>
      <c r="AO39">
        <v>0.75423600000000002</v>
      </c>
      <c r="AP39">
        <v>-8.2699999999999996E-3</v>
      </c>
      <c r="AQ39">
        <v>0.95399999999999996</v>
      </c>
      <c r="AR39">
        <v>0</v>
      </c>
      <c r="AS39" s="14"/>
    </row>
    <row r="40" spans="1:47" x14ac:dyDescent="0.25">
      <c r="A40" s="14"/>
      <c r="B40" t="s">
        <v>17</v>
      </c>
      <c r="C40">
        <v>5.8681000000000001</v>
      </c>
      <c r="D40">
        <v>5.8560319999999999</v>
      </c>
      <c r="E40">
        <v>-1.2107427E-2</v>
      </c>
      <c r="F40">
        <v>4.1678E-2</v>
      </c>
      <c r="G40">
        <v>4.6739000000000003E-2</v>
      </c>
      <c r="H40">
        <v>0.1214288992</v>
      </c>
      <c r="I40">
        <v>-2.0632480000000002E-3</v>
      </c>
      <c r="J40">
        <v>0.96799999999999997</v>
      </c>
      <c r="K40">
        <v>0</v>
      </c>
      <c r="M40" t="s">
        <v>17</v>
      </c>
      <c r="N40">
        <v>5.8643999999999998</v>
      </c>
      <c r="O40">
        <v>5.838635</v>
      </c>
      <c r="P40">
        <v>-2.5775880000000001E-2</v>
      </c>
      <c r="Q40">
        <v>4.2604999999999997E-2</v>
      </c>
      <c r="R40">
        <v>4.8254999999999999E-2</v>
      </c>
      <c r="S40">
        <v>0.1326055484</v>
      </c>
      <c r="T40">
        <v>-4.3953059999999999E-3</v>
      </c>
      <c r="U40">
        <v>0.95899999999999996</v>
      </c>
      <c r="V40">
        <v>0</v>
      </c>
      <c r="X40" t="s">
        <v>17</v>
      </c>
      <c r="Y40">
        <v>5.87</v>
      </c>
      <c r="Z40">
        <v>5.8560319999999999</v>
      </c>
      <c r="AA40">
        <v>-1.2109999999999999E-2</v>
      </c>
      <c r="AB40">
        <v>-2.0600000000000002E-3</v>
      </c>
      <c r="AC40">
        <v>4.1678E-2</v>
      </c>
      <c r="AD40">
        <v>4.6739000000000003E-2</v>
      </c>
      <c r="AE40">
        <v>0.12143</v>
      </c>
      <c r="AF40">
        <v>0.96799999999999997</v>
      </c>
      <c r="AG40">
        <v>0</v>
      </c>
      <c r="AI40" t="s">
        <v>17</v>
      </c>
      <c r="AJ40">
        <v>5.86</v>
      </c>
      <c r="AK40">
        <v>5.838635</v>
      </c>
      <c r="AL40">
        <v>-2.5780000000000001E-2</v>
      </c>
      <c r="AM40">
        <v>-4.4000000000000003E-3</v>
      </c>
      <c r="AN40">
        <v>4.2604999999999997E-2</v>
      </c>
      <c r="AO40">
        <v>4.8254999999999999E-2</v>
      </c>
      <c r="AP40">
        <v>0.13261000000000001</v>
      </c>
      <c r="AQ40">
        <v>0.95899999999999996</v>
      </c>
      <c r="AR40">
        <v>0</v>
      </c>
      <c r="AS40" s="14"/>
    </row>
    <row r="41" spans="1:47" x14ac:dyDescent="0.25">
      <c r="A41" s="14"/>
      <c r="B41" t="s">
        <v>18</v>
      </c>
      <c r="C41">
        <v>2.8400000000000002E-2</v>
      </c>
      <c r="D41">
        <v>4.0357999999999998E-2</v>
      </c>
      <c r="E41">
        <v>1.19410527E-2</v>
      </c>
      <c r="F41">
        <v>3.4847999999999997E-2</v>
      </c>
      <c r="G41">
        <v>3.6942999999999997E-2</v>
      </c>
      <c r="H41">
        <v>6.0100109700000001E-2</v>
      </c>
      <c r="I41">
        <v>0.42021509699999998</v>
      </c>
      <c r="J41">
        <v>0.96799999999999997</v>
      </c>
      <c r="K41">
        <v>0</v>
      </c>
      <c r="M41" t="s">
        <v>18</v>
      </c>
      <c r="N41">
        <v>3.2099999999999997E-2</v>
      </c>
      <c r="O41">
        <v>5.7558999999999999E-2</v>
      </c>
      <c r="P41">
        <v>2.5450957900000001E-2</v>
      </c>
      <c r="Q41">
        <v>3.5874999999999997E-2</v>
      </c>
      <c r="R41">
        <v>3.8490999999999997E-2</v>
      </c>
      <c r="S41">
        <v>7.29439536E-2</v>
      </c>
      <c r="T41">
        <v>0.79265749910000005</v>
      </c>
      <c r="U41">
        <v>0.93600000000000005</v>
      </c>
      <c r="V41">
        <v>0</v>
      </c>
      <c r="X41" t="s">
        <v>18</v>
      </c>
      <c r="Y41">
        <v>0.03</v>
      </c>
      <c r="Z41">
        <v>4.0357999999999998E-2</v>
      </c>
      <c r="AA41">
        <v>1.1939999999999999E-2</v>
      </c>
      <c r="AB41">
        <v>0.42021999999999998</v>
      </c>
      <c r="AC41">
        <v>3.4847999999999997E-2</v>
      </c>
      <c r="AD41">
        <v>3.6942999999999997E-2</v>
      </c>
      <c r="AE41">
        <v>6.0100000000000001E-2</v>
      </c>
      <c r="AF41">
        <v>0.96799999999999997</v>
      </c>
      <c r="AG41">
        <v>0</v>
      </c>
      <c r="AI41" t="s">
        <v>18</v>
      </c>
      <c r="AJ41">
        <v>0.03</v>
      </c>
      <c r="AK41">
        <v>5.7558999999999999E-2</v>
      </c>
      <c r="AL41">
        <v>2.545E-2</v>
      </c>
      <c r="AM41">
        <v>0.79266000000000003</v>
      </c>
      <c r="AN41">
        <v>3.5874999999999997E-2</v>
      </c>
      <c r="AO41">
        <v>3.8490999999999997E-2</v>
      </c>
      <c r="AP41">
        <v>7.2940000000000005E-2</v>
      </c>
      <c r="AQ41">
        <v>0.93600000000000005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468</v>
      </c>
      <c r="J43" s="12" t="str">
        <f>INDEX('Method Codes'!$B:$B, MATCH(B43, 'Method Codes'!$I:$I,0))</f>
        <v>IND</v>
      </c>
      <c r="K43" s="12" t="str">
        <f>INDEX('Method Codes'!H:H, MATCH(B43, 'Method Codes'!I:I,0))</f>
        <v>4F</v>
      </c>
      <c r="M43" s="1" t="s">
        <v>529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4F</v>
      </c>
      <c r="X43" s="1" t="s">
        <v>332</v>
      </c>
      <c r="AI43" s="1" t="s">
        <v>333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45">
        <v>107.141903</v>
      </c>
      <c r="E45">
        <v>6.4493958000000004E-2</v>
      </c>
      <c r="F45">
        <v>2.025013</v>
      </c>
      <c r="G45">
        <v>2.0361370000000001</v>
      </c>
      <c r="H45">
        <v>5.4937118000000004E-3</v>
      </c>
      <c r="I45">
        <v>6.0231149999999997E-4</v>
      </c>
      <c r="J45">
        <v>0.95199999999999996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45">
        <v>106.675723</v>
      </c>
      <c r="P45">
        <v>-0.13673350100000001</v>
      </c>
      <c r="Q45">
        <v>2.252402</v>
      </c>
      <c r="R45">
        <v>2.2750170000000001</v>
      </c>
      <c r="S45">
        <v>1.0040322799999999E-2</v>
      </c>
      <c r="T45">
        <v>-1.280127E-3</v>
      </c>
      <c r="U45">
        <v>0.95699999999999996</v>
      </c>
      <c r="V45">
        <v>1</v>
      </c>
      <c r="X45" t="s">
        <v>12</v>
      </c>
      <c r="Y45">
        <v>107.08</v>
      </c>
      <c r="Z45">
        <v>107.14190000000001</v>
      </c>
      <c r="AA45">
        <v>6.4493999999999996E-2</v>
      </c>
      <c r="AB45">
        <v>6.02E-4</v>
      </c>
      <c r="AC45">
        <v>2.0249999999999999</v>
      </c>
      <c r="AD45">
        <v>2.0360999999999998</v>
      </c>
      <c r="AE45">
        <v>5.4900000000000001E-3</v>
      </c>
      <c r="AF45">
        <v>0.95199999999999996</v>
      </c>
      <c r="AG45">
        <v>1</v>
      </c>
      <c r="AI45" t="s">
        <v>12</v>
      </c>
      <c r="AJ45">
        <v>106.81</v>
      </c>
      <c r="AK45">
        <v>106.67570000000001</v>
      </c>
      <c r="AL45">
        <v>-0.13672999999999999</v>
      </c>
      <c r="AM45">
        <v>-1.2800000000000001E-3</v>
      </c>
      <c r="AN45">
        <v>2.2524000000000002</v>
      </c>
      <c r="AO45">
        <v>2.2749999999999999</v>
      </c>
      <c r="AP45">
        <v>1.004E-2</v>
      </c>
      <c r="AQ45">
        <v>0.95699999999999996</v>
      </c>
      <c r="AR45">
        <v>1</v>
      </c>
      <c r="AS45" s="14"/>
    </row>
    <row r="46" spans="1:47" x14ac:dyDescent="0.25">
      <c r="A46" s="14"/>
      <c r="B46" t="s">
        <v>13</v>
      </c>
      <c r="C46">
        <v>-4.7686000000000002</v>
      </c>
      <c r="D46">
        <v>-4.8183249999999997</v>
      </c>
      <c r="E46">
        <v>-4.9682961999999997E-2</v>
      </c>
      <c r="F46">
        <v>0.78087300000000004</v>
      </c>
      <c r="G46">
        <v>0.78409899999999999</v>
      </c>
      <c r="H46">
        <v>4.1313898000000003E-3</v>
      </c>
      <c r="I46">
        <v>1.0418682300000001E-2</v>
      </c>
      <c r="J46">
        <v>0.95599999999999996</v>
      </c>
      <c r="K46">
        <v>1</v>
      </c>
      <c r="M46" t="s">
        <v>13</v>
      </c>
      <c r="N46">
        <v>-4.7992999999999997</v>
      </c>
      <c r="O46">
        <v>-4.9849769999999998</v>
      </c>
      <c r="P46">
        <v>-0.18569464099999999</v>
      </c>
      <c r="Q46">
        <v>0.87883199999999995</v>
      </c>
      <c r="R46">
        <v>0.879938</v>
      </c>
      <c r="S46">
        <v>1.2581471999999999E-3</v>
      </c>
      <c r="T46">
        <v>3.8692172099999998E-2</v>
      </c>
      <c r="U46">
        <v>0.95</v>
      </c>
      <c r="V46">
        <v>1</v>
      </c>
      <c r="X46" t="s">
        <v>13</v>
      </c>
      <c r="Y46">
        <v>-4.7699999999999996</v>
      </c>
      <c r="Z46">
        <v>-4.8182999999999998</v>
      </c>
      <c r="AA46">
        <v>-4.9682999999999998E-2</v>
      </c>
      <c r="AB46">
        <v>1.0418999999999999E-2</v>
      </c>
      <c r="AC46">
        <v>0.78090000000000004</v>
      </c>
      <c r="AD46">
        <v>0.78410000000000002</v>
      </c>
      <c r="AE46">
        <v>4.13E-3</v>
      </c>
      <c r="AF46">
        <v>0.95599999999999996</v>
      </c>
      <c r="AG46">
        <v>1</v>
      </c>
      <c r="AI46" t="s">
        <v>13</v>
      </c>
      <c r="AJ46">
        <v>-4.8</v>
      </c>
      <c r="AK46">
        <v>-4.9850000000000003</v>
      </c>
      <c r="AL46">
        <v>-0.18568999999999999</v>
      </c>
      <c r="AM46">
        <v>3.8690000000000002E-2</v>
      </c>
      <c r="AN46">
        <v>0.87880000000000003</v>
      </c>
      <c r="AO46">
        <v>0.87990000000000002</v>
      </c>
      <c r="AP46">
        <v>1.2600000000000001E-3</v>
      </c>
      <c r="AQ46">
        <v>0.95</v>
      </c>
      <c r="AR46">
        <v>1</v>
      </c>
      <c r="AS46" s="14"/>
    </row>
    <row r="47" spans="1:47" x14ac:dyDescent="0.25">
      <c r="A47" s="14"/>
      <c r="B47" t="s">
        <v>14</v>
      </c>
      <c r="C47">
        <v>8.6966999999999999</v>
      </c>
      <c r="D47">
        <v>8.6602820000000005</v>
      </c>
      <c r="E47">
        <v>-3.6416518000000002E-2</v>
      </c>
      <c r="F47">
        <v>0.45216099999999998</v>
      </c>
      <c r="G47">
        <v>0.47278799999999999</v>
      </c>
      <c r="H47">
        <v>4.5620515600000001E-2</v>
      </c>
      <c r="I47">
        <v>-4.1873960000000003E-3</v>
      </c>
      <c r="J47">
        <v>0.95499999999999996</v>
      </c>
      <c r="K47">
        <v>1</v>
      </c>
      <c r="M47" t="s">
        <v>14</v>
      </c>
      <c r="N47">
        <v>8.7021999999999995</v>
      </c>
      <c r="O47">
        <v>8.6596209999999996</v>
      </c>
      <c r="P47">
        <v>-4.2586461999999999E-2</v>
      </c>
      <c r="Q47">
        <v>0.50654200000000005</v>
      </c>
      <c r="R47">
        <v>0.53355399999999997</v>
      </c>
      <c r="S47">
        <v>5.3325656300000003E-2</v>
      </c>
      <c r="T47">
        <v>-4.8937540000000002E-3</v>
      </c>
      <c r="U47">
        <v>0.96599999999999997</v>
      </c>
      <c r="V47">
        <v>1</v>
      </c>
      <c r="X47" t="s">
        <v>14</v>
      </c>
      <c r="Y47">
        <v>8.6999999999999993</v>
      </c>
      <c r="Z47">
        <v>8.6602999999999994</v>
      </c>
      <c r="AA47">
        <v>-3.6416999999999998E-2</v>
      </c>
      <c r="AB47">
        <v>-4.1869999999999997E-3</v>
      </c>
      <c r="AC47">
        <v>0.45219999999999999</v>
      </c>
      <c r="AD47">
        <v>0.4728</v>
      </c>
      <c r="AE47">
        <v>4.5620000000000001E-2</v>
      </c>
      <c r="AF47">
        <v>0.95499999999999996</v>
      </c>
      <c r="AG47">
        <v>1</v>
      </c>
      <c r="AI47" t="s">
        <v>14</v>
      </c>
      <c r="AJ47">
        <v>8.6999999999999993</v>
      </c>
      <c r="AK47">
        <v>8.6595999999999993</v>
      </c>
      <c r="AL47">
        <v>-4.2590000000000003E-2</v>
      </c>
      <c r="AM47">
        <v>-4.8900000000000002E-3</v>
      </c>
      <c r="AN47">
        <v>0.50649999999999995</v>
      </c>
      <c r="AO47">
        <v>0.53359999999999996</v>
      </c>
      <c r="AP47">
        <v>5.3330000000000002E-2</v>
      </c>
      <c r="AQ47">
        <v>0.96599999999999997</v>
      </c>
      <c r="AR47">
        <v>1</v>
      </c>
      <c r="AS47" s="14"/>
    </row>
    <row r="48" spans="1:47" x14ac:dyDescent="0.25">
      <c r="A48" s="14"/>
      <c r="B48" t="s">
        <v>15</v>
      </c>
      <c r="C48">
        <v>-1.6103000000000001</v>
      </c>
      <c r="D48">
        <v>-1.610627</v>
      </c>
      <c r="E48">
        <v>-3.3264200000000002E-4</v>
      </c>
      <c r="F48">
        <v>0.49823899999999999</v>
      </c>
      <c r="G48">
        <v>0.50362399999999996</v>
      </c>
      <c r="H48">
        <v>1.08088557E-2</v>
      </c>
      <c r="I48">
        <v>2.0657219999999999E-4</v>
      </c>
      <c r="J48">
        <v>0.95</v>
      </c>
      <c r="K48">
        <v>0.89100000000000001</v>
      </c>
      <c r="M48" t="s">
        <v>15</v>
      </c>
      <c r="N48">
        <v>-1.5806</v>
      </c>
      <c r="O48">
        <v>-1.688213</v>
      </c>
      <c r="P48">
        <v>-0.10758738299999999</v>
      </c>
      <c r="Q48">
        <v>0.56866099999999997</v>
      </c>
      <c r="R48">
        <v>0.57680399999999998</v>
      </c>
      <c r="S48">
        <v>1.4320846599999999E-2</v>
      </c>
      <c r="T48">
        <v>6.8066315700000005E-2</v>
      </c>
      <c r="U48">
        <v>0.95899999999999996</v>
      </c>
      <c r="V48">
        <v>0.82799999999999996</v>
      </c>
      <c r="X48" t="s">
        <v>15</v>
      </c>
      <c r="Y48">
        <v>-1.61</v>
      </c>
      <c r="Z48">
        <v>-1.6106</v>
      </c>
      <c r="AA48">
        <v>-3.3300000000000002E-4</v>
      </c>
      <c r="AB48">
        <v>2.0699999999999999E-4</v>
      </c>
      <c r="AC48">
        <v>0.49819999999999998</v>
      </c>
      <c r="AD48">
        <v>0.50360000000000005</v>
      </c>
      <c r="AE48">
        <v>1.081E-2</v>
      </c>
      <c r="AF48">
        <v>0.95</v>
      </c>
      <c r="AG48">
        <v>0.89100000000000001</v>
      </c>
      <c r="AI48" t="s">
        <v>15</v>
      </c>
      <c r="AJ48">
        <v>-1.58</v>
      </c>
      <c r="AK48">
        <v>-1.6881999999999999</v>
      </c>
      <c r="AL48">
        <v>-0.10759000000000001</v>
      </c>
      <c r="AM48">
        <v>6.8070000000000006E-2</v>
      </c>
      <c r="AN48">
        <v>0.56869999999999998</v>
      </c>
      <c r="AO48">
        <v>0.57679999999999998</v>
      </c>
      <c r="AP48">
        <v>1.4319999999999999E-2</v>
      </c>
      <c r="AQ48">
        <v>0.95899999999999996</v>
      </c>
      <c r="AR48">
        <v>0.82799999999999996</v>
      </c>
      <c r="AS48" s="14"/>
    </row>
    <row r="49" spans="1:45" x14ac:dyDescent="0.25">
      <c r="A49" s="14"/>
      <c r="B49" t="s">
        <v>16</v>
      </c>
      <c r="C49">
        <v>-7.9151999999999996</v>
      </c>
      <c r="D49">
        <v>-7.8785100000000003</v>
      </c>
      <c r="E49">
        <v>3.6665358699999998E-2</v>
      </c>
      <c r="F49">
        <v>0.58111800000000002</v>
      </c>
      <c r="G49">
        <v>0.59365800000000002</v>
      </c>
      <c r="H49">
        <v>2.1579294200000002E-2</v>
      </c>
      <c r="I49">
        <v>-4.6322860000000002E-3</v>
      </c>
      <c r="J49">
        <v>0.95</v>
      </c>
      <c r="K49">
        <v>1</v>
      </c>
      <c r="M49" t="s">
        <v>16</v>
      </c>
      <c r="N49">
        <v>-7.7763999999999998</v>
      </c>
      <c r="O49">
        <v>-7.7892609999999998</v>
      </c>
      <c r="P49">
        <v>-1.2832067000000001E-2</v>
      </c>
      <c r="Q49">
        <v>0.669763</v>
      </c>
      <c r="R49">
        <v>0.67096500000000003</v>
      </c>
      <c r="S49">
        <v>1.7944737E-3</v>
      </c>
      <c r="T49">
        <v>1.6501233E-3</v>
      </c>
      <c r="U49">
        <v>0.95399999999999996</v>
      </c>
      <c r="V49">
        <v>1</v>
      </c>
      <c r="X49" t="s">
        <v>16</v>
      </c>
      <c r="Y49">
        <v>-7.92</v>
      </c>
      <c r="Z49">
        <v>-7.8784999999999998</v>
      </c>
      <c r="AA49">
        <v>3.6665000000000003E-2</v>
      </c>
      <c r="AB49">
        <v>-4.6319999999999998E-3</v>
      </c>
      <c r="AC49">
        <v>0.58109999999999995</v>
      </c>
      <c r="AD49">
        <v>0.59370000000000001</v>
      </c>
      <c r="AE49">
        <v>2.1579999999999998E-2</v>
      </c>
      <c r="AF49">
        <v>0.95</v>
      </c>
      <c r="AG49">
        <v>1</v>
      </c>
      <c r="AI49" t="s">
        <v>16</v>
      </c>
      <c r="AJ49">
        <v>-7.78</v>
      </c>
      <c r="AK49">
        <v>-7.7892999999999999</v>
      </c>
      <c r="AL49">
        <v>-1.2829999999999999E-2</v>
      </c>
      <c r="AM49">
        <v>1.65E-3</v>
      </c>
      <c r="AN49">
        <v>0.66979999999999995</v>
      </c>
      <c r="AO49">
        <v>0.67100000000000004</v>
      </c>
      <c r="AP49">
        <v>1.7899999999999999E-3</v>
      </c>
      <c r="AQ49">
        <v>0.95399999999999996</v>
      </c>
      <c r="AR49">
        <v>1</v>
      </c>
      <c r="AS49" s="14"/>
    </row>
    <row r="50" spans="1:45" x14ac:dyDescent="0.25">
      <c r="A50" s="14"/>
      <c r="B50" t="s">
        <v>17</v>
      </c>
      <c r="C50">
        <v>5.8681000000000001</v>
      </c>
      <c r="D50">
        <v>5.867076</v>
      </c>
      <c r="E50">
        <v>-1.0625739999999999E-3</v>
      </c>
      <c r="F50">
        <v>3.1387999999999999E-2</v>
      </c>
      <c r="G50">
        <v>3.4823E-2</v>
      </c>
      <c r="H50">
        <v>0.1094368466</v>
      </c>
      <c r="I50">
        <v>-1.81075E-4</v>
      </c>
      <c r="J50">
        <v>0.97399999999999998</v>
      </c>
      <c r="K50">
        <v>1</v>
      </c>
      <c r="M50" t="s">
        <v>17</v>
      </c>
      <c r="N50">
        <v>5.8643999999999998</v>
      </c>
      <c r="O50">
        <v>5.8453790000000003</v>
      </c>
      <c r="P50">
        <v>-1.9031853000000001E-2</v>
      </c>
      <c r="Q50">
        <v>2.9069000000000001E-2</v>
      </c>
      <c r="R50">
        <v>3.3029999999999997E-2</v>
      </c>
      <c r="S50">
        <v>0.13627865829999999</v>
      </c>
      <c r="T50">
        <v>-3.245314E-3</v>
      </c>
      <c r="U50">
        <v>0.93799999999999994</v>
      </c>
      <c r="V50">
        <v>1</v>
      </c>
      <c r="X50" t="s">
        <v>17</v>
      </c>
      <c r="Y50">
        <v>5.87</v>
      </c>
      <c r="Z50">
        <v>5.8670999999999998</v>
      </c>
      <c r="AA50">
        <v>-1.0629999999999999E-3</v>
      </c>
      <c r="AB50">
        <v>-1.8100000000000001E-4</v>
      </c>
      <c r="AC50">
        <v>3.1399999999999997E-2</v>
      </c>
      <c r="AD50">
        <v>3.4799999999999998E-2</v>
      </c>
      <c r="AE50">
        <v>0.10944</v>
      </c>
      <c r="AF50">
        <v>0.97399999999999998</v>
      </c>
      <c r="AG50">
        <v>1</v>
      </c>
      <c r="AI50" t="s">
        <v>17</v>
      </c>
      <c r="AJ50">
        <v>5.86</v>
      </c>
      <c r="AK50">
        <v>5.8453999999999997</v>
      </c>
      <c r="AL50">
        <v>-1.9029999999999998E-2</v>
      </c>
      <c r="AM50">
        <v>-3.2499999999999999E-3</v>
      </c>
      <c r="AN50">
        <v>2.9100000000000001E-2</v>
      </c>
      <c r="AO50">
        <v>3.3000000000000002E-2</v>
      </c>
      <c r="AP50">
        <v>0.13628000000000001</v>
      </c>
      <c r="AQ50">
        <v>0.93799999999999994</v>
      </c>
      <c r="AR50">
        <v>1</v>
      </c>
      <c r="AS50" s="14"/>
    </row>
    <row r="51" spans="1:45" x14ac:dyDescent="0.25">
      <c r="A51" s="14"/>
      <c r="B51" t="s">
        <v>18</v>
      </c>
      <c r="C51">
        <v>2.8400000000000002E-2</v>
      </c>
      <c r="D51">
        <v>3.1102999999999999E-2</v>
      </c>
      <c r="E51">
        <v>2.6860391999999999E-3</v>
      </c>
      <c r="F51">
        <v>2.3012999999999999E-2</v>
      </c>
      <c r="G51">
        <v>2.3269000000000001E-2</v>
      </c>
      <c r="H51">
        <v>1.11331134E-2</v>
      </c>
      <c r="I51">
        <v>9.4523847100000002E-2</v>
      </c>
      <c r="J51">
        <v>0.95</v>
      </c>
      <c r="K51">
        <v>0.25900000000000001</v>
      </c>
      <c r="M51" t="s">
        <v>18</v>
      </c>
      <c r="N51">
        <v>3.2099999999999997E-2</v>
      </c>
      <c r="O51">
        <v>5.1691000000000001E-2</v>
      </c>
      <c r="P51">
        <v>1.95824172E-2</v>
      </c>
      <c r="Q51">
        <v>1.9775999999999998E-2</v>
      </c>
      <c r="R51">
        <v>2.0292000000000001E-2</v>
      </c>
      <c r="S51">
        <v>2.6074989400000002E-2</v>
      </c>
      <c r="T51">
        <v>0.60988470029999997</v>
      </c>
      <c r="U51">
        <v>0.83799999999999997</v>
      </c>
      <c r="V51">
        <v>0.72299999999999998</v>
      </c>
      <c r="X51" t="s">
        <v>18</v>
      </c>
      <c r="Y51">
        <v>0.03</v>
      </c>
      <c r="Z51">
        <v>3.1099999999999999E-2</v>
      </c>
      <c r="AA51">
        <v>2.686E-3</v>
      </c>
      <c r="AB51">
        <v>9.4523999999999997E-2</v>
      </c>
      <c r="AC51">
        <v>2.3E-2</v>
      </c>
      <c r="AD51">
        <v>2.3300000000000001E-2</v>
      </c>
      <c r="AE51">
        <v>1.1129999999999999E-2</v>
      </c>
      <c r="AF51">
        <v>0.95</v>
      </c>
      <c r="AG51">
        <v>0.25900000000000001</v>
      </c>
      <c r="AI51" t="s">
        <v>18</v>
      </c>
      <c r="AJ51">
        <v>0.03</v>
      </c>
      <c r="AK51">
        <v>5.1700000000000003E-2</v>
      </c>
      <c r="AL51">
        <v>1.958E-2</v>
      </c>
      <c r="AM51">
        <v>0.60987999999999998</v>
      </c>
      <c r="AN51">
        <v>1.9800000000000002E-2</v>
      </c>
      <c r="AO51">
        <v>2.0299999999999999E-2</v>
      </c>
      <c r="AP51">
        <v>2.6069999999999999E-2</v>
      </c>
      <c r="AQ51">
        <v>0.83799999999999997</v>
      </c>
      <c r="AR51">
        <v>0.72299999999999998</v>
      </c>
      <c r="AS51" s="14"/>
    </row>
    <row r="53" spans="1:45" ht="14.45" customHeight="1" x14ac:dyDescent="0.25">
      <c r="A53" s="13" t="s">
        <v>97</v>
      </c>
      <c r="B53" s="1" t="s">
        <v>478</v>
      </c>
      <c r="J53" s="12" t="str">
        <f>INDEX('Method Codes'!$B:$B, MATCH(B53, 'Method Codes'!$I:$I,0))</f>
        <v>IND</v>
      </c>
      <c r="K53" s="12" t="str">
        <f>INDEX('Method Codes'!H:H, MATCH(B53, 'Method Codes'!I:I,0))</f>
        <v>5D</v>
      </c>
      <c r="M53" s="1" t="s">
        <v>538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5D</v>
      </c>
      <c r="X53" s="1" t="s">
        <v>334</v>
      </c>
      <c r="AI53" s="1" t="s">
        <v>335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55">
        <v>103.998683</v>
      </c>
      <c r="E55">
        <v>-3.0787252349999998</v>
      </c>
      <c r="F55">
        <v>1.382768</v>
      </c>
      <c r="G55">
        <v>1.461554</v>
      </c>
      <c r="H55">
        <v>5.6977674300000003E-2</v>
      </c>
      <c r="I55">
        <v>-2.8752331999999999E-2</v>
      </c>
      <c r="J55">
        <v>0.44900000000000001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55">
        <v>101.36799000000001</v>
      </c>
      <c r="P55">
        <v>-5.4444662060000004</v>
      </c>
      <c r="Q55">
        <v>1.5133509999999999</v>
      </c>
      <c r="R55">
        <v>1.6944969999999999</v>
      </c>
      <c r="S55">
        <v>0.11969837329999999</v>
      </c>
      <c r="T55">
        <v>-5.0972203000000001E-2</v>
      </c>
      <c r="U55">
        <v>7.8E-2</v>
      </c>
      <c r="V55">
        <v>0</v>
      </c>
      <c r="X55" t="s">
        <v>12</v>
      </c>
      <c r="Y55">
        <v>107.08</v>
      </c>
      <c r="Z55">
        <v>103.998683</v>
      </c>
      <c r="AA55">
        <v>-3.0787300000000002</v>
      </c>
      <c r="AB55">
        <v>-2.8750000000000001E-2</v>
      </c>
      <c r="AC55">
        <v>1.382768</v>
      </c>
      <c r="AD55">
        <v>1.461554</v>
      </c>
      <c r="AE55">
        <v>5.6980000000000003E-2</v>
      </c>
      <c r="AF55">
        <v>0.44900000000000001</v>
      </c>
      <c r="AG55">
        <v>0</v>
      </c>
      <c r="AI55" t="s">
        <v>12</v>
      </c>
      <c r="AJ55">
        <v>106.81</v>
      </c>
      <c r="AK55">
        <v>101.36799000000001</v>
      </c>
      <c r="AL55">
        <v>-5.4444699999999999</v>
      </c>
      <c r="AM55">
        <v>-5.0970000000000001E-2</v>
      </c>
      <c r="AN55">
        <v>1.5133509999999999</v>
      </c>
      <c r="AO55">
        <v>1.6944969999999999</v>
      </c>
      <c r="AP55">
        <v>0.1197</v>
      </c>
      <c r="AQ55">
        <v>7.8E-2</v>
      </c>
      <c r="AR55">
        <v>0</v>
      </c>
      <c r="AS55" s="14"/>
    </row>
    <row r="56" spans="1:45" x14ac:dyDescent="0.25">
      <c r="A56" s="14"/>
      <c r="B56" t="s">
        <v>13</v>
      </c>
      <c r="C56">
        <v>-4.7686000000000002</v>
      </c>
      <c r="D56">
        <v>-4.7939920000000003</v>
      </c>
      <c r="E56">
        <v>-2.5350386999999999E-2</v>
      </c>
      <c r="F56">
        <v>0.524088</v>
      </c>
      <c r="G56">
        <v>0.556029</v>
      </c>
      <c r="H56">
        <v>6.0946456000000003E-2</v>
      </c>
      <c r="I56">
        <v>5.3160604000000002E-3</v>
      </c>
      <c r="J56">
        <v>0.96899999999999997</v>
      </c>
      <c r="K56">
        <v>0</v>
      </c>
      <c r="M56" t="s">
        <v>13</v>
      </c>
      <c r="N56">
        <v>-4.7992999999999997</v>
      </c>
      <c r="O56">
        <v>-4.9891719999999999</v>
      </c>
      <c r="P56">
        <v>-0.189889951</v>
      </c>
      <c r="Q56">
        <v>0.58659399999999995</v>
      </c>
      <c r="R56">
        <v>0.62827999999999995</v>
      </c>
      <c r="S56">
        <v>7.1063833100000001E-2</v>
      </c>
      <c r="T56">
        <v>3.9566325800000003E-2</v>
      </c>
      <c r="U56">
        <v>0.95799999999999996</v>
      </c>
      <c r="V56">
        <v>0</v>
      </c>
      <c r="X56" t="s">
        <v>13</v>
      </c>
      <c r="Y56">
        <v>-4.7699999999999996</v>
      </c>
      <c r="Z56">
        <v>-4.7939920000000003</v>
      </c>
      <c r="AA56">
        <v>-2.5350000000000001E-2</v>
      </c>
      <c r="AB56">
        <v>5.3200000000000001E-3</v>
      </c>
      <c r="AC56">
        <v>0.524088</v>
      </c>
      <c r="AD56">
        <v>0.556029</v>
      </c>
      <c r="AE56">
        <v>6.0949999999999997E-2</v>
      </c>
      <c r="AF56">
        <v>0.96899999999999997</v>
      </c>
      <c r="AG56">
        <v>0</v>
      </c>
      <c r="AI56" t="s">
        <v>13</v>
      </c>
      <c r="AJ56">
        <v>-4.8</v>
      </c>
      <c r="AK56">
        <v>-4.9891719999999999</v>
      </c>
      <c r="AL56">
        <v>-0.18989</v>
      </c>
      <c r="AM56">
        <v>3.9570000000000001E-2</v>
      </c>
      <c r="AN56">
        <v>0.58659399999999995</v>
      </c>
      <c r="AO56">
        <v>0.62827999999999995</v>
      </c>
      <c r="AP56">
        <v>7.1059999999999998E-2</v>
      </c>
      <c r="AQ56">
        <v>0.95799999999999996</v>
      </c>
      <c r="AR56">
        <v>0</v>
      </c>
      <c r="AS56" s="14"/>
    </row>
    <row r="57" spans="1:45" x14ac:dyDescent="0.25">
      <c r="A57" s="14"/>
      <c r="B57" t="s">
        <v>14</v>
      </c>
      <c r="C57">
        <v>8.6966999999999999</v>
      </c>
      <c r="D57">
        <v>10.728254</v>
      </c>
      <c r="E57">
        <v>2.031555397</v>
      </c>
      <c r="F57">
        <v>0.33349600000000001</v>
      </c>
      <c r="G57">
        <v>0.32613199999999998</v>
      </c>
      <c r="H57">
        <v>-2.2081993000000001E-2</v>
      </c>
      <c r="I57">
        <v>0.23360075750000001</v>
      </c>
      <c r="J57">
        <v>0</v>
      </c>
      <c r="K57">
        <v>0</v>
      </c>
      <c r="M57" t="s">
        <v>14</v>
      </c>
      <c r="N57">
        <v>8.7021999999999995</v>
      </c>
      <c r="O57">
        <v>11.811840999999999</v>
      </c>
      <c r="P57">
        <v>3.1096339032999998</v>
      </c>
      <c r="Q57">
        <v>0.38259399999999999</v>
      </c>
      <c r="R57">
        <v>0.36363499999999999</v>
      </c>
      <c r="S57">
        <v>-4.9553001999999999E-2</v>
      </c>
      <c r="T57">
        <v>0.35733852090000001</v>
      </c>
      <c r="U57">
        <v>0</v>
      </c>
      <c r="V57">
        <v>0</v>
      </c>
      <c r="X57" t="s">
        <v>14</v>
      </c>
      <c r="Y57">
        <v>8.6999999999999993</v>
      </c>
      <c r="Z57">
        <v>10.728254</v>
      </c>
      <c r="AA57">
        <v>2.0315599999999998</v>
      </c>
      <c r="AB57">
        <v>0.2336</v>
      </c>
      <c r="AC57">
        <v>0.33349600000000001</v>
      </c>
      <c r="AD57">
        <v>0.32613199999999998</v>
      </c>
      <c r="AE57">
        <v>-2.2079999999999999E-2</v>
      </c>
      <c r="AF57">
        <v>0</v>
      </c>
      <c r="AG57">
        <v>0</v>
      </c>
      <c r="AI57" t="s">
        <v>14</v>
      </c>
      <c r="AJ57">
        <v>8.6999999999999993</v>
      </c>
      <c r="AK57">
        <v>11.811840999999999</v>
      </c>
      <c r="AL57">
        <v>3.1096300000000001</v>
      </c>
      <c r="AM57">
        <v>0.35733999999999999</v>
      </c>
      <c r="AN57">
        <v>0.38259399999999999</v>
      </c>
      <c r="AO57">
        <v>0.36363499999999999</v>
      </c>
      <c r="AP57">
        <v>-4.9549999999999997E-2</v>
      </c>
      <c r="AQ57">
        <v>0</v>
      </c>
      <c r="AR57">
        <v>0</v>
      </c>
      <c r="AS57" s="14"/>
    </row>
    <row r="58" spans="1:45" x14ac:dyDescent="0.25">
      <c r="A58" s="14"/>
      <c r="B58" t="s">
        <v>15</v>
      </c>
      <c r="C58">
        <v>-1.6103000000000001</v>
      </c>
      <c r="D58">
        <v>-1.0228630000000001</v>
      </c>
      <c r="E58">
        <v>0.58743191819999996</v>
      </c>
      <c r="F58">
        <v>0.33232200000000001</v>
      </c>
      <c r="G58">
        <v>0.35222100000000001</v>
      </c>
      <c r="H58">
        <v>5.9878516399999998E-2</v>
      </c>
      <c r="I58">
        <v>-0.364797804</v>
      </c>
      <c r="J58">
        <v>0.626</v>
      </c>
      <c r="K58">
        <v>0</v>
      </c>
      <c r="M58" t="s">
        <v>15</v>
      </c>
      <c r="N58">
        <v>-1.5806</v>
      </c>
      <c r="O58">
        <v>-0.657524</v>
      </c>
      <c r="P58">
        <v>0.92310215439999999</v>
      </c>
      <c r="Q58">
        <v>0.37349900000000003</v>
      </c>
      <c r="R58">
        <v>0.41603600000000002</v>
      </c>
      <c r="S58">
        <v>0.1138898584</v>
      </c>
      <c r="T58">
        <v>-0.58401051500000001</v>
      </c>
      <c r="U58">
        <v>0.38800000000000001</v>
      </c>
      <c r="V58">
        <v>0</v>
      </c>
      <c r="X58" t="s">
        <v>15</v>
      </c>
      <c r="Y58">
        <v>-1.61</v>
      </c>
      <c r="Z58">
        <v>-1.0228630000000001</v>
      </c>
      <c r="AA58">
        <v>0.58743000000000001</v>
      </c>
      <c r="AB58">
        <v>-0.36480000000000001</v>
      </c>
      <c r="AC58">
        <v>0.33232200000000001</v>
      </c>
      <c r="AD58">
        <v>0.35222100000000001</v>
      </c>
      <c r="AE58">
        <v>5.9880000000000003E-2</v>
      </c>
      <c r="AF58">
        <v>0.626</v>
      </c>
      <c r="AG58">
        <v>0</v>
      </c>
      <c r="AI58" t="s">
        <v>15</v>
      </c>
      <c r="AJ58">
        <v>-1.58</v>
      </c>
      <c r="AK58">
        <v>-0.657524</v>
      </c>
      <c r="AL58">
        <v>0.92310000000000003</v>
      </c>
      <c r="AM58">
        <v>-0.58401000000000003</v>
      </c>
      <c r="AN58">
        <v>0.37349900000000003</v>
      </c>
      <c r="AO58">
        <v>0.41603600000000002</v>
      </c>
      <c r="AP58">
        <v>0.11389000000000001</v>
      </c>
      <c r="AQ58">
        <v>0.38800000000000001</v>
      </c>
      <c r="AR58">
        <v>0</v>
      </c>
      <c r="AS58" s="14"/>
    </row>
    <row r="59" spans="1:45" x14ac:dyDescent="0.25">
      <c r="A59" s="14"/>
      <c r="B59" t="s">
        <v>16</v>
      </c>
      <c r="C59">
        <v>-7.9151999999999996</v>
      </c>
      <c r="D59">
        <v>-9.6878320000000002</v>
      </c>
      <c r="E59">
        <v>-1.7726559719999999</v>
      </c>
      <c r="F59">
        <v>0.380859</v>
      </c>
      <c r="G59">
        <v>0.39783400000000002</v>
      </c>
      <c r="H59">
        <v>4.45690189E-2</v>
      </c>
      <c r="I59">
        <v>0.2239566187</v>
      </c>
      <c r="J59">
        <v>4.0000000000000001E-3</v>
      </c>
      <c r="K59">
        <v>0</v>
      </c>
      <c r="M59" t="s">
        <v>16</v>
      </c>
      <c r="N59">
        <v>-7.7763999999999998</v>
      </c>
      <c r="O59">
        <v>-10.496326</v>
      </c>
      <c r="P59">
        <v>-2.7198966250000001</v>
      </c>
      <c r="Q59">
        <v>0.43149900000000002</v>
      </c>
      <c r="R59">
        <v>0.44417600000000002</v>
      </c>
      <c r="S59">
        <v>2.9377863300000001E-2</v>
      </c>
      <c r="T59">
        <v>0.34976164939999999</v>
      </c>
      <c r="U59">
        <v>0</v>
      </c>
      <c r="V59">
        <v>0</v>
      </c>
      <c r="X59" t="s">
        <v>16</v>
      </c>
      <c r="Y59">
        <v>-7.92</v>
      </c>
      <c r="Z59">
        <v>-9.6878320000000002</v>
      </c>
      <c r="AA59">
        <v>-1.7726599999999999</v>
      </c>
      <c r="AB59">
        <v>0.22395999999999999</v>
      </c>
      <c r="AC59">
        <v>0.380859</v>
      </c>
      <c r="AD59">
        <v>0.39783400000000002</v>
      </c>
      <c r="AE59">
        <v>4.4569999999999999E-2</v>
      </c>
      <c r="AF59">
        <v>4.0000000000000001E-3</v>
      </c>
      <c r="AG59">
        <v>0</v>
      </c>
      <c r="AI59" t="s">
        <v>16</v>
      </c>
      <c r="AJ59">
        <v>-7.78</v>
      </c>
      <c r="AK59">
        <v>-10.496326</v>
      </c>
      <c r="AL59">
        <v>-2.7199</v>
      </c>
      <c r="AM59">
        <v>0.34976000000000002</v>
      </c>
      <c r="AN59">
        <v>0.43149900000000002</v>
      </c>
      <c r="AO59">
        <v>0.44417600000000002</v>
      </c>
      <c r="AP59">
        <v>2.938E-2</v>
      </c>
      <c r="AQ59">
        <v>0</v>
      </c>
      <c r="AR59">
        <v>0</v>
      </c>
      <c r="AS59" s="14"/>
    </row>
    <row r="60" spans="1:45" x14ac:dyDescent="0.25">
      <c r="A60" s="14"/>
      <c r="B60" t="s">
        <v>17</v>
      </c>
      <c r="C60">
        <v>5.8681000000000001</v>
      </c>
      <c r="D60">
        <v>5.7863759999999997</v>
      </c>
      <c r="E60">
        <v>-8.1763129000000004E-2</v>
      </c>
      <c r="F60">
        <v>2.6435E-2</v>
      </c>
      <c r="G60">
        <v>2.7793999999999999E-2</v>
      </c>
      <c r="H60">
        <v>5.1409681399999997E-2</v>
      </c>
      <c r="I60">
        <v>-1.39334E-2</v>
      </c>
      <c r="J60">
        <v>0.186</v>
      </c>
      <c r="K60">
        <v>0</v>
      </c>
      <c r="M60" t="s">
        <v>17</v>
      </c>
      <c r="N60">
        <v>5.8643999999999998</v>
      </c>
      <c r="O60">
        <v>5.8115819999999996</v>
      </c>
      <c r="P60">
        <v>-5.2828886999999998E-2</v>
      </c>
      <c r="Q60">
        <v>2.3231000000000002E-2</v>
      </c>
      <c r="R60">
        <v>2.4837000000000001E-2</v>
      </c>
      <c r="S60">
        <v>6.9140134500000006E-2</v>
      </c>
      <c r="T60">
        <v>-9.0083880000000009E-3</v>
      </c>
      <c r="U60">
        <v>0.435</v>
      </c>
      <c r="V60">
        <v>0</v>
      </c>
      <c r="X60" t="s">
        <v>17</v>
      </c>
      <c r="Y60">
        <v>5.87</v>
      </c>
      <c r="Z60">
        <v>5.7863759999999997</v>
      </c>
      <c r="AA60">
        <v>-8.1759999999999999E-2</v>
      </c>
      <c r="AB60">
        <v>-1.393E-2</v>
      </c>
      <c r="AC60">
        <v>2.6435E-2</v>
      </c>
      <c r="AD60">
        <v>2.7793999999999999E-2</v>
      </c>
      <c r="AE60">
        <v>5.1409999999999997E-2</v>
      </c>
      <c r="AF60">
        <v>0.186</v>
      </c>
      <c r="AG60">
        <v>0</v>
      </c>
      <c r="AI60" t="s">
        <v>17</v>
      </c>
      <c r="AJ60">
        <v>5.86</v>
      </c>
      <c r="AK60">
        <v>5.8115819999999996</v>
      </c>
      <c r="AL60">
        <v>-5.2830000000000002E-2</v>
      </c>
      <c r="AM60">
        <v>-9.0100000000000006E-3</v>
      </c>
      <c r="AN60">
        <v>2.3231000000000002E-2</v>
      </c>
      <c r="AO60">
        <v>2.4837000000000001E-2</v>
      </c>
      <c r="AP60">
        <v>6.9139999999999993E-2</v>
      </c>
      <c r="AQ60">
        <v>0.435</v>
      </c>
      <c r="AR60">
        <v>0</v>
      </c>
      <c r="AS60" s="14"/>
    </row>
    <row r="61" spans="1:45" x14ac:dyDescent="0.25">
      <c r="A61" s="14"/>
      <c r="B61" t="s">
        <v>18</v>
      </c>
      <c r="C61">
        <v>2.8400000000000002E-2</v>
      </c>
      <c r="D61">
        <v>2.4631E-2</v>
      </c>
      <c r="E61">
        <v>-3.7856560000000001E-3</v>
      </c>
      <c r="F61">
        <v>1.6725E-2</v>
      </c>
      <c r="G61">
        <v>1.8468999999999999E-2</v>
      </c>
      <c r="H61">
        <v>0.10430632889999999</v>
      </c>
      <c r="I61">
        <v>-0.13322023199999999</v>
      </c>
      <c r="J61">
        <v>0.97</v>
      </c>
      <c r="K61">
        <v>0</v>
      </c>
      <c r="M61" t="s">
        <v>18</v>
      </c>
      <c r="N61">
        <v>3.2099999999999997E-2</v>
      </c>
      <c r="O61">
        <v>3.1620000000000002E-2</v>
      </c>
      <c r="P61">
        <v>-4.8860600000000004E-4</v>
      </c>
      <c r="Q61">
        <v>1.4586E-2</v>
      </c>
      <c r="R61">
        <v>1.6774000000000001E-2</v>
      </c>
      <c r="S61">
        <v>0.15001060899999999</v>
      </c>
      <c r="T61">
        <v>-1.5217390000000001E-2</v>
      </c>
      <c r="U61">
        <v>0.97699999999999998</v>
      </c>
      <c r="V61">
        <v>0</v>
      </c>
      <c r="X61" t="s">
        <v>18</v>
      </c>
      <c r="Y61">
        <v>0.03</v>
      </c>
      <c r="Z61">
        <v>2.4631E-2</v>
      </c>
      <c r="AA61">
        <v>-3.79E-3</v>
      </c>
      <c r="AB61">
        <v>-0.13322000000000001</v>
      </c>
      <c r="AC61">
        <v>1.6725E-2</v>
      </c>
      <c r="AD61">
        <v>1.8468999999999999E-2</v>
      </c>
      <c r="AE61">
        <v>0.10431</v>
      </c>
      <c r="AF61">
        <v>0.97</v>
      </c>
      <c r="AG61">
        <v>0</v>
      </c>
      <c r="AI61" t="s">
        <v>18</v>
      </c>
      <c r="AJ61">
        <v>0.03</v>
      </c>
      <c r="AK61">
        <v>3.1620000000000002E-2</v>
      </c>
      <c r="AL61">
        <v>-4.8999999999999998E-4</v>
      </c>
      <c r="AM61">
        <v>-1.5219999999999999E-2</v>
      </c>
      <c r="AN61">
        <v>1.4586E-2</v>
      </c>
      <c r="AO61">
        <v>1.6774000000000001E-2</v>
      </c>
      <c r="AP61">
        <v>0.15001</v>
      </c>
      <c r="AQ61">
        <v>0.97699999999999998</v>
      </c>
      <c r="AR61">
        <v>0</v>
      </c>
      <c r="AS61" s="14"/>
    </row>
    <row r="63" spans="1:45" ht="14.45" customHeight="1" x14ac:dyDescent="0.25">
      <c r="A63" s="13" t="s">
        <v>98</v>
      </c>
      <c r="B63" s="1" t="s">
        <v>488</v>
      </c>
      <c r="J63" s="12" t="str">
        <f>INDEX('Method Codes'!$B:$B, MATCH(B63, 'Method Codes'!$I:$I,0))</f>
        <v>IND</v>
      </c>
      <c r="K63" s="12" t="str">
        <f>INDEX('Method Codes'!H:H, MATCH(B63, 'Method Codes'!I:I,0))</f>
        <v>6F</v>
      </c>
      <c r="M63" s="1" t="s">
        <v>547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6F</v>
      </c>
      <c r="X63" s="1" t="s">
        <v>336</v>
      </c>
      <c r="AI63" s="1" t="s">
        <v>337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107.0774</v>
      </c>
      <c r="D65">
        <v>107.089074</v>
      </c>
      <c r="E65">
        <v>1.16649366E-2</v>
      </c>
      <c r="F65">
        <v>1.578128</v>
      </c>
      <c r="G65">
        <v>1.6046450000000001</v>
      </c>
      <c r="H65">
        <v>1.6803293800000001E-2</v>
      </c>
      <c r="I65">
        <v>1.089393E-4</v>
      </c>
      <c r="J65">
        <v>0.95799999999999996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106.8125</v>
      </c>
      <c r="O65">
        <v>105.628422</v>
      </c>
      <c r="P65">
        <v>-1.1840340490000001</v>
      </c>
      <c r="Q65">
        <v>1.74936</v>
      </c>
      <c r="R65">
        <v>1.818271</v>
      </c>
      <c r="S65">
        <v>3.93924275E-2</v>
      </c>
      <c r="T65">
        <v>-1.1085167999999999E-2</v>
      </c>
      <c r="U65">
        <v>0.89600000000000002</v>
      </c>
      <c r="V65">
        <v>1</v>
      </c>
      <c r="X65" t="s">
        <v>12</v>
      </c>
      <c r="Y65">
        <v>107.08</v>
      </c>
      <c r="Z65">
        <v>107.0891</v>
      </c>
      <c r="AA65">
        <v>1.1665E-2</v>
      </c>
      <c r="AB65">
        <v>1.0900000000000001E-4</v>
      </c>
      <c r="AC65">
        <v>1.5781000000000001</v>
      </c>
      <c r="AD65">
        <v>1.6046</v>
      </c>
      <c r="AE65">
        <v>1.6799999999999999E-2</v>
      </c>
      <c r="AF65">
        <v>0.95799999999999996</v>
      </c>
      <c r="AG65">
        <v>1</v>
      </c>
      <c r="AI65" t="s">
        <v>12</v>
      </c>
      <c r="AJ65">
        <v>106.81</v>
      </c>
      <c r="AK65">
        <v>105.6284</v>
      </c>
      <c r="AL65">
        <v>-1.1840299999999999</v>
      </c>
      <c r="AM65">
        <v>-1.1089999999999999E-2</v>
      </c>
      <c r="AN65">
        <v>1.7494000000000001</v>
      </c>
      <c r="AO65">
        <v>1.8183</v>
      </c>
      <c r="AP65">
        <v>3.9390000000000001E-2</v>
      </c>
      <c r="AQ65">
        <v>0.89600000000000002</v>
      </c>
      <c r="AR65">
        <v>1</v>
      </c>
      <c r="AS65" s="14"/>
    </row>
    <row r="66" spans="1:45" x14ac:dyDescent="0.25">
      <c r="A66" s="14"/>
      <c r="B66" t="s">
        <v>13</v>
      </c>
      <c r="C66">
        <v>-4.7686000000000002</v>
      </c>
      <c r="D66">
        <v>-4.7655519999999996</v>
      </c>
      <c r="E66">
        <v>3.0893384000000002E-3</v>
      </c>
      <c r="F66">
        <v>0.58774599999999999</v>
      </c>
      <c r="G66">
        <v>0.59711700000000001</v>
      </c>
      <c r="H66">
        <v>1.5943225299999999E-2</v>
      </c>
      <c r="I66">
        <v>-6.4784499999999997E-4</v>
      </c>
      <c r="J66">
        <v>0.95499999999999996</v>
      </c>
      <c r="K66">
        <v>1</v>
      </c>
      <c r="M66" t="s">
        <v>13</v>
      </c>
      <c r="N66">
        <v>-4.7992999999999997</v>
      </c>
      <c r="O66">
        <v>-4.9061360000000001</v>
      </c>
      <c r="P66">
        <v>-0.106854069</v>
      </c>
      <c r="Q66">
        <v>0.65059599999999995</v>
      </c>
      <c r="R66">
        <v>0.65940100000000001</v>
      </c>
      <c r="S66">
        <v>1.35337419E-2</v>
      </c>
      <c r="T66">
        <v>2.2264595200000001E-2</v>
      </c>
      <c r="U66">
        <v>0.95199999999999996</v>
      </c>
      <c r="V66">
        <v>1</v>
      </c>
      <c r="X66" t="s">
        <v>13</v>
      </c>
      <c r="Y66">
        <v>-4.7699999999999996</v>
      </c>
      <c r="Z66">
        <v>-4.7656000000000001</v>
      </c>
      <c r="AA66">
        <v>3.0890000000000002E-3</v>
      </c>
      <c r="AB66">
        <v>-6.4800000000000003E-4</v>
      </c>
      <c r="AC66">
        <v>0.5877</v>
      </c>
      <c r="AD66">
        <v>0.59709999999999996</v>
      </c>
      <c r="AE66">
        <v>1.5939999999999999E-2</v>
      </c>
      <c r="AF66">
        <v>0.95499999999999996</v>
      </c>
      <c r="AG66">
        <v>1</v>
      </c>
      <c r="AI66" t="s">
        <v>13</v>
      </c>
      <c r="AJ66">
        <v>-4.8</v>
      </c>
      <c r="AK66">
        <v>-4.9061000000000003</v>
      </c>
      <c r="AL66">
        <v>-0.10685</v>
      </c>
      <c r="AM66">
        <v>2.2259999999999999E-2</v>
      </c>
      <c r="AN66">
        <v>0.65059999999999996</v>
      </c>
      <c r="AO66">
        <v>0.65939999999999999</v>
      </c>
      <c r="AP66">
        <v>1.353E-2</v>
      </c>
      <c r="AQ66">
        <v>0.95199999999999996</v>
      </c>
      <c r="AR66">
        <v>1</v>
      </c>
      <c r="AS66" s="14"/>
    </row>
    <row r="67" spans="1:45" x14ac:dyDescent="0.25">
      <c r="A67" s="14"/>
      <c r="B67" t="s">
        <v>14</v>
      </c>
      <c r="C67">
        <v>8.6966999999999999</v>
      </c>
      <c r="D67">
        <v>8.6985919999999997</v>
      </c>
      <c r="E67">
        <v>1.8935874999999999E-3</v>
      </c>
      <c r="F67">
        <v>0.34887299999999999</v>
      </c>
      <c r="G67">
        <v>0.35828599999999999</v>
      </c>
      <c r="H67">
        <v>2.69788309E-2</v>
      </c>
      <c r="I67">
        <v>2.177364E-4</v>
      </c>
      <c r="J67">
        <v>0.95499999999999996</v>
      </c>
      <c r="K67">
        <v>1</v>
      </c>
      <c r="M67" t="s">
        <v>14</v>
      </c>
      <c r="N67">
        <v>8.7021999999999995</v>
      </c>
      <c r="O67">
        <v>9.1816429999999993</v>
      </c>
      <c r="P67">
        <v>0.47943572330000001</v>
      </c>
      <c r="Q67">
        <v>0.37476100000000001</v>
      </c>
      <c r="R67">
        <v>0.38675900000000002</v>
      </c>
      <c r="S67">
        <v>3.2015060400000003E-2</v>
      </c>
      <c r="T67">
        <v>5.50935761E-2</v>
      </c>
      <c r="U67">
        <v>0.77100000000000002</v>
      </c>
      <c r="V67">
        <v>1</v>
      </c>
      <c r="X67" t="s">
        <v>14</v>
      </c>
      <c r="Y67">
        <v>8.6999999999999993</v>
      </c>
      <c r="Z67">
        <v>8.6986000000000008</v>
      </c>
      <c r="AA67">
        <v>1.8940000000000001E-3</v>
      </c>
      <c r="AB67">
        <v>2.1800000000000001E-4</v>
      </c>
      <c r="AC67">
        <v>0.34889999999999999</v>
      </c>
      <c r="AD67">
        <v>0.35830000000000001</v>
      </c>
      <c r="AE67">
        <v>2.6980000000000001E-2</v>
      </c>
      <c r="AF67">
        <v>0.95499999999999996</v>
      </c>
      <c r="AG67">
        <v>1</v>
      </c>
      <c r="AI67" t="s">
        <v>14</v>
      </c>
      <c r="AJ67">
        <v>8.6999999999999993</v>
      </c>
      <c r="AK67">
        <v>9.1815999999999995</v>
      </c>
      <c r="AL67">
        <v>0.47943999999999998</v>
      </c>
      <c r="AM67">
        <v>5.509E-2</v>
      </c>
      <c r="AN67">
        <v>0.37480000000000002</v>
      </c>
      <c r="AO67">
        <v>0.38679999999999998</v>
      </c>
      <c r="AP67">
        <v>3.202E-2</v>
      </c>
      <c r="AQ67">
        <v>0.77100000000000002</v>
      </c>
      <c r="AR67">
        <v>1</v>
      </c>
      <c r="AS67" s="14"/>
    </row>
    <row r="68" spans="1:45" x14ac:dyDescent="0.25">
      <c r="A68" s="14"/>
      <c r="B68" t="s">
        <v>15</v>
      </c>
      <c r="C68">
        <v>-1.6103000000000001</v>
      </c>
      <c r="D68">
        <v>-1.6094839999999999</v>
      </c>
      <c r="E68">
        <v>8.1092049999999998E-4</v>
      </c>
      <c r="F68">
        <v>0.37184099999999998</v>
      </c>
      <c r="G68">
        <v>0.38306000000000001</v>
      </c>
      <c r="H68">
        <v>3.01727644E-2</v>
      </c>
      <c r="I68">
        <v>-5.0358499999999997E-4</v>
      </c>
      <c r="J68">
        <v>0.95899999999999996</v>
      </c>
      <c r="K68">
        <v>0.99299999999999999</v>
      </c>
      <c r="M68" t="s">
        <v>15</v>
      </c>
      <c r="N68">
        <v>-1.5806</v>
      </c>
      <c r="O68">
        <v>-1.456915</v>
      </c>
      <c r="P68">
        <v>0.1237105214</v>
      </c>
      <c r="Q68">
        <v>0.42584899999999998</v>
      </c>
      <c r="R68">
        <v>0.444465</v>
      </c>
      <c r="S68">
        <v>4.3714660699999998E-2</v>
      </c>
      <c r="T68">
        <v>-7.8266793000000001E-2</v>
      </c>
      <c r="U68">
        <v>0.95699999999999996</v>
      </c>
      <c r="V68">
        <v>0.90500000000000003</v>
      </c>
      <c r="X68" t="s">
        <v>15</v>
      </c>
      <c r="Y68">
        <v>-1.61</v>
      </c>
      <c r="Z68">
        <v>-1.6094999999999999</v>
      </c>
      <c r="AA68">
        <v>8.1099999999999998E-4</v>
      </c>
      <c r="AB68">
        <v>-5.04E-4</v>
      </c>
      <c r="AC68">
        <v>0.37180000000000002</v>
      </c>
      <c r="AD68">
        <v>0.3831</v>
      </c>
      <c r="AE68">
        <v>3.0169999999999999E-2</v>
      </c>
      <c r="AF68">
        <v>0.95899999999999996</v>
      </c>
      <c r="AG68">
        <v>0.99299999999999999</v>
      </c>
      <c r="AI68" t="s">
        <v>15</v>
      </c>
      <c r="AJ68">
        <v>-1.58</v>
      </c>
      <c r="AK68">
        <v>-1.4569000000000001</v>
      </c>
      <c r="AL68">
        <v>0.12371</v>
      </c>
      <c r="AM68">
        <v>-7.8270000000000006E-2</v>
      </c>
      <c r="AN68">
        <v>0.42580000000000001</v>
      </c>
      <c r="AO68">
        <v>0.44450000000000001</v>
      </c>
      <c r="AP68">
        <v>4.3709999999999999E-2</v>
      </c>
      <c r="AQ68">
        <v>0.95699999999999996</v>
      </c>
      <c r="AR68">
        <v>0.90500000000000003</v>
      </c>
      <c r="AS68" s="14"/>
    </row>
    <row r="69" spans="1:45" x14ac:dyDescent="0.25">
      <c r="A69" s="14"/>
      <c r="B69" t="s">
        <v>16</v>
      </c>
      <c r="C69">
        <v>-7.9151999999999996</v>
      </c>
      <c r="D69">
        <v>-7.9312079999999998</v>
      </c>
      <c r="E69">
        <v>-1.6032364E-2</v>
      </c>
      <c r="F69">
        <v>0.43208800000000003</v>
      </c>
      <c r="G69">
        <v>0.44683299999999998</v>
      </c>
      <c r="H69">
        <v>3.4124420599999997E-2</v>
      </c>
      <c r="I69">
        <v>2.0255222000000002E-3</v>
      </c>
      <c r="J69">
        <v>0.95</v>
      </c>
      <c r="K69">
        <v>1</v>
      </c>
      <c r="M69" t="s">
        <v>16</v>
      </c>
      <c r="N69">
        <v>-7.7763999999999998</v>
      </c>
      <c r="O69">
        <v>-8.2722949999999997</v>
      </c>
      <c r="P69">
        <v>-0.495865738</v>
      </c>
      <c r="Q69">
        <v>0.47483700000000001</v>
      </c>
      <c r="R69">
        <v>0.48094399999999998</v>
      </c>
      <c r="S69">
        <v>1.28611035E-2</v>
      </c>
      <c r="T69">
        <v>6.3765224400000001E-2</v>
      </c>
      <c r="U69">
        <v>0.82899999999999996</v>
      </c>
      <c r="V69">
        <v>1</v>
      </c>
      <c r="X69" t="s">
        <v>16</v>
      </c>
      <c r="Y69">
        <v>-7.92</v>
      </c>
      <c r="Z69">
        <v>-7.9311999999999996</v>
      </c>
      <c r="AA69">
        <v>-1.6032000000000001E-2</v>
      </c>
      <c r="AB69">
        <v>2.026E-3</v>
      </c>
      <c r="AC69">
        <v>0.43209999999999998</v>
      </c>
      <c r="AD69">
        <v>0.44679999999999997</v>
      </c>
      <c r="AE69">
        <v>3.4119999999999998E-2</v>
      </c>
      <c r="AF69">
        <v>0.95</v>
      </c>
      <c r="AG69">
        <v>1</v>
      </c>
      <c r="AI69" t="s">
        <v>16</v>
      </c>
      <c r="AJ69">
        <v>-7.78</v>
      </c>
      <c r="AK69">
        <v>-8.2722999999999995</v>
      </c>
      <c r="AL69">
        <v>-0.49586999999999998</v>
      </c>
      <c r="AM69">
        <v>6.3769999999999993E-2</v>
      </c>
      <c r="AN69">
        <v>0.4748</v>
      </c>
      <c r="AO69">
        <v>0.48089999999999999</v>
      </c>
      <c r="AP69">
        <v>1.286E-2</v>
      </c>
      <c r="AQ69">
        <v>0.82899999999999996</v>
      </c>
      <c r="AR69">
        <v>1</v>
      </c>
      <c r="AS69" s="14"/>
    </row>
    <row r="70" spans="1:45" x14ac:dyDescent="0.25">
      <c r="A70" s="14"/>
      <c r="B70" t="s">
        <v>17</v>
      </c>
      <c r="C70">
        <v>5.8681000000000001</v>
      </c>
      <c r="D70">
        <v>5.8675579999999998</v>
      </c>
      <c r="E70">
        <v>-5.8076600000000003E-4</v>
      </c>
      <c r="F70">
        <v>3.0595000000000001E-2</v>
      </c>
      <c r="G70">
        <v>3.4091000000000003E-2</v>
      </c>
      <c r="H70">
        <v>0.11426019630000001</v>
      </c>
      <c r="I70">
        <v>-9.8968999999999994E-5</v>
      </c>
      <c r="J70">
        <v>0.97499999999999998</v>
      </c>
      <c r="K70">
        <v>1</v>
      </c>
      <c r="M70" t="s">
        <v>17</v>
      </c>
      <c r="N70">
        <v>5.8643999999999998</v>
      </c>
      <c r="O70">
        <v>5.8647210000000003</v>
      </c>
      <c r="P70">
        <v>3.1064619999999999E-4</v>
      </c>
      <c r="Q70">
        <v>2.7569E-2</v>
      </c>
      <c r="R70">
        <v>3.0540000000000001E-2</v>
      </c>
      <c r="S70">
        <v>0.10777437870000001</v>
      </c>
      <c r="T70">
        <v>5.2971399999999999E-5</v>
      </c>
      <c r="U70">
        <v>0.97099999999999997</v>
      </c>
      <c r="V70">
        <v>1</v>
      </c>
      <c r="X70" t="s">
        <v>17</v>
      </c>
      <c r="Y70">
        <v>5.87</v>
      </c>
      <c r="Z70">
        <v>5.8676000000000004</v>
      </c>
      <c r="AA70">
        <v>-5.8100000000000003E-4</v>
      </c>
      <c r="AB70">
        <v>-9.8999999999999994E-5</v>
      </c>
      <c r="AC70">
        <v>3.0599999999999999E-2</v>
      </c>
      <c r="AD70">
        <v>3.4099999999999998E-2</v>
      </c>
      <c r="AE70">
        <v>0.11426</v>
      </c>
      <c r="AF70">
        <v>0.97499999999999998</v>
      </c>
      <c r="AG70">
        <v>1</v>
      </c>
      <c r="AI70" t="s">
        <v>17</v>
      </c>
      <c r="AJ70">
        <v>5.86</v>
      </c>
      <c r="AK70">
        <v>5.8647</v>
      </c>
      <c r="AL70">
        <v>3.1E-4</v>
      </c>
      <c r="AM70">
        <v>5.0000000000000002E-5</v>
      </c>
      <c r="AN70">
        <v>2.76E-2</v>
      </c>
      <c r="AO70">
        <v>3.0499999999999999E-2</v>
      </c>
      <c r="AP70">
        <v>0.10777</v>
      </c>
      <c r="AQ70">
        <v>0.97099999999999997</v>
      </c>
      <c r="AR70">
        <v>1</v>
      </c>
      <c r="AS70" s="14"/>
    </row>
    <row r="71" spans="1:45" x14ac:dyDescent="0.25">
      <c r="A71" s="14"/>
      <c r="B71" t="s">
        <v>18</v>
      </c>
      <c r="C71">
        <v>2.8400000000000002E-2</v>
      </c>
      <c r="D71">
        <v>2.8008000000000002E-2</v>
      </c>
      <c r="E71">
        <v>-4.0893400000000001E-4</v>
      </c>
      <c r="F71">
        <v>1.9851000000000001E-2</v>
      </c>
      <c r="G71">
        <v>1.9743E-2</v>
      </c>
      <c r="H71">
        <v>-5.4317100000000002E-3</v>
      </c>
      <c r="I71">
        <v>-1.4390705E-2</v>
      </c>
      <c r="J71">
        <v>0.94599999999999995</v>
      </c>
      <c r="K71">
        <v>0.28100000000000003</v>
      </c>
      <c r="M71" t="s">
        <v>18</v>
      </c>
      <c r="N71">
        <v>3.2099999999999997E-2</v>
      </c>
      <c r="O71">
        <v>3.7449999999999997E-2</v>
      </c>
      <c r="P71">
        <v>5.3414048000000004E-3</v>
      </c>
      <c r="Q71">
        <v>1.8180000000000002E-2</v>
      </c>
      <c r="R71">
        <v>1.83E-2</v>
      </c>
      <c r="S71">
        <v>6.6341129E-3</v>
      </c>
      <c r="T71">
        <v>0.1663554122</v>
      </c>
      <c r="U71">
        <v>0.93700000000000006</v>
      </c>
      <c r="V71">
        <v>0.53100000000000003</v>
      </c>
      <c r="X71" t="s">
        <v>18</v>
      </c>
      <c r="Y71">
        <v>0.03</v>
      </c>
      <c r="Z71">
        <v>2.8000000000000001E-2</v>
      </c>
      <c r="AA71">
        <v>-4.0900000000000002E-4</v>
      </c>
      <c r="AB71">
        <v>-1.4390999999999999E-2</v>
      </c>
      <c r="AC71">
        <v>1.9900000000000001E-2</v>
      </c>
      <c r="AD71">
        <v>1.9699999999999999E-2</v>
      </c>
      <c r="AE71">
        <v>-5.4299999999999999E-3</v>
      </c>
      <c r="AF71">
        <v>0.94599999999999995</v>
      </c>
      <c r="AG71">
        <v>0.28100000000000003</v>
      </c>
      <c r="AI71" t="s">
        <v>18</v>
      </c>
      <c r="AJ71">
        <v>0.03</v>
      </c>
      <c r="AK71">
        <v>3.7400000000000003E-2</v>
      </c>
      <c r="AL71">
        <v>5.3400000000000001E-3</v>
      </c>
      <c r="AM71">
        <v>0.16636000000000001</v>
      </c>
      <c r="AN71">
        <v>1.8200000000000001E-2</v>
      </c>
      <c r="AO71">
        <v>1.83E-2</v>
      </c>
      <c r="AP71">
        <v>6.6299999999999996E-3</v>
      </c>
      <c r="AQ71">
        <v>0.93700000000000006</v>
      </c>
      <c r="AR71">
        <v>0.53100000000000003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679" priority="36" stopIfTrue="1" operator="between">
      <formula>0</formula>
      <formula>0.8</formula>
    </cfRule>
    <cfRule type="cellIs" dxfId="678" priority="35" stopIfTrue="1" operator="between">
      <formula>0.8</formula>
      <formula>0.9</formula>
    </cfRule>
    <cfRule type="cellIs" dxfId="677" priority="34" stopIfTrue="1" operator="between">
      <formula>0</formula>
      <formula>1</formula>
    </cfRule>
    <cfRule type="cellIs" dxfId="676" priority="33" stopIfTrue="1" operator="between">
      <formula>0.9365</formula>
      <formula>0.9635</formula>
    </cfRule>
  </conditionalFormatting>
  <conditionalFormatting sqref="J15:J21">
    <cfRule type="cellIs" dxfId="675" priority="25" stopIfTrue="1" operator="between">
      <formula>0.9365</formula>
      <formula>0.9635</formula>
    </cfRule>
    <cfRule type="cellIs" dxfId="674" priority="26" stopIfTrue="1" operator="between">
      <formula>0</formula>
      <formula>1</formula>
    </cfRule>
    <cfRule type="cellIs" dxfId="673" priority="27" stopIfTrue="1" operator="between">
      <formula>0.8</formula>
      <formula>0.9</formula>
    </cfRule>
    <cfRule type="cellIs" dxfId="672" priority="28" stopIfTrue="1" operator="between">
      <formula>0</formula>
      <formula>0.8</formula>
    </cfRule>
  </conditionalFormatting>
  <conditionalFormatting sqref="J25:J31">
    <cfRule type="cellIs" dxfId="671" priority="29" stopIfTrue="1" operator="between">
      <formula>0.95</formula>
      <formula>1</formula>
    </cfRule>
    <cfRule type="cellIs" dxfId="670" priority="32" stopIfTrue="1" operator="between">
      <formula>0</formula>
      <formula>0.8</formula>
    </cfRule>
    <cfRule type="cellIs" dxfId="669" priority="31" stopIfTrue="1" operator="between">
      <formula>0.8</formula>
      <formula>0.9</formula>
    </cfRule>
    <cfRule type="cellIs" dxfId="668" priority="30" stopIfTrue="1" operator="between">
      <formula>0.9</formula>
      <formula>0.95</formula>
    </cfRule>
  </conditionalFormatting>
  <conditionalFormatting sqref="J35:J41">
    <cfRule type="cellIs" dxfId="667" priority="21" stopIfTrue="1" operator="between">
      <formula>0.9365</formula>
      <formula>0.9635</formula>
    </cfRule>
    <cfRule type="cellIs" dxfId="666" priority="23" stopIfTrue="1" operator="between">
      <formula>0.8</formula>
      <formula>0.9</formula>
    </cfRule>
    <cfRule type="cellIs" dxfId="665" priority="24" stopIfTrue="1" operator="between">
      <formula>0</formula>
      <formula>0.8</formula>
    </cfRule>
    <cfRule type="cellIs" dxfId="664" priority="22" stopIfTrue="1" operator="between">
      <formula>0</formula>
      <formula>1</formula>
    </cfRule>
  </conditionalFormatting>
  <conditionalFormatting sqref="J45:J51">
    <cfRule type="cellIs" dxfId="663" priority="17" stopIfTrue="1" operator="between">
      <formula>0.9365</formula>
      <formula>0.9635</formula>
    </cfRule>
    <cfRule type="cellIs" dxfId="662" priority="18" stopIfTrue="1" operator="between">
      <formula>0</formula>
      <formula>1</formula>
    </cfRule>
    <cfRule type="cellIs" dxfId="661" priority="19" stopIfTrue="1" operator="between">
      <formula>0.8</formula>
      <formula>0.9</formula>
    </cfRule>
    <cfRule type="cellIs" dxfId="660" priority="20" stopIfTrue="1" operator="between">
      <formula>0</formula>
      <formula>0.8</formula>
    </cfRule>
  </conditionalFormatting>
  <conditionalFormatting sqref="J55:J61">
    <cfRule type="cellIs" dxfId="659" priority="15" stopIfTrue="1" operator="between">
      <formula>0.8</formula>
      <formula>0.9</formula>
    </cfRule>
    <cfRule type="cellIs" dxfId="658" priority="13" stopIfTrue="1" operator="between">
      <formula>0.9365</formula>
      <formula>0.9635</formula>
    </cfRule>
    <cfRule type="cellIs" dxfId="657" priority="14" stopIfTrue="1" operator="between">
      <formula>0</formula>
      <formula>1</formula>
    </cfRule>
    <cfRule type="cellIs" dxfId="656" priority="16" stopIfTrue="1" operator="between">
      <formula>0</formula>
      <formula>0.8</formula>
    </cfRule>
  </conditionalFormatting>
  <conditionalFormatting sqref="J65:J71">
    <cfRule type="cellIs" dxfId="655" priority="12" stopIfTrue="1" operator="between">
      <formula>0</formula>
      <formula>0.8</formula>
    </cfRule>
    <cfRule type="cellIs" dxfId="654" priority="11" stopIfTrue="1" operator="between">
      <formula>0.8</formula>
      <formula>0.9</formula>
    </cfRule>
    <cfRule type="cellIs" dxfId="653" priority="10" stopIfTrue="1" operator="between">
      <formula>0</formula>
      <formula>1</formula>
    </cfRule>
    <cfRule type="cellIs" dxfId="652" priority="9" stopIfTrue="1" operator="between">
      <formula>0.9365</formula>
      <formula>0.9635</formula>
    </cfRule>
  </conditionalFormatting>
  <conditionalFormatting sqref="U5:U11">
    <cfRule type="cellIs" dxfId="651" priority="56" stopIfTrue="1" operator="between">
      <formula>0</formula>
      <formula>0.8</formula>
    </cfRule>
    <cfRule type="cellIs" dxfId="650" priority="53" stopIfTrue="1" operator="between">
      <formula>0.9365</formula>
      <formula>0.9635</formula>
    </cfRule>
    <cfRule type="cellIs" dxfId="649" priority="54" stopIfTrue="1" operator="between">
      <formula>0</formula>
      <formula>1</formula>
    </cfRule>
    <cfRule type="cellIs" dxfId="648" priority="55" stopIfTrue="1" operator="between">
      <formula>0.8</formula>
      <formula>0.9</formula>
    </cfRule>
  </conditionalFormatting>
  <conditionalFormatting sqref="U15:U21">
    <cfRule type="cellIs" dxfId="647" priority="45" stopIfTrue="1" operator="between">
      <formula>0.9365</formula>
      <formula>0.9635</formula>
    </cfRule>
    <cfRule type="cellIs" dxfId="646" priority="46" stopIfTrue="1" operator="between">
      <formula>0</formula>
      <formula>1</formula>
    </cfRule>
    <cfRule type="cellIs" dxfId="645" priority="47" stopIfTrue="1" operator="between">
      <formula>0.8</formula>
      <formula>0.9</formula>
    </cfRule>
    <cfRule type="cellIs" dxfId="644" priority="48" stopIfTrue="1" operator="between">
      <formula>0</formula>
      <formula>0.8</formula>
    </cfRule>
  </conditionalFormatting>
  <conditionalFormatting sqref="U25:U31">
    <cfRule type="cellIs" dxfId="643" priority="49" stopIfTrue="1" operator="between">
      <formula>0.95</formula>
      <formula>1</formula>
    </cfRule>
    <cfRule type="cellIs" dxfId="642" priority="50" stopIfTrue="1" operator="between">
      <formula>0.9</formula>
      <formula>0.95</formula>
    </cfRule>
    <cfRule type="cellIs" dxfId="641" priority="51" stopIfTrue="1" operator="between">
      <formula>0.8</formula>
      <formula>0.9</formula>
    </cfRule>
    <cfRule type="cellIs" dxfId="640" priority="52" stopIfTrue="1" operator="between">
      <formula>0</formula>
      <formula>0.8</formula>
    </cfRule>
  </conditionalFormatting>
  <conditionalFormatting sqref="U35:U41">
    <cfRule type="cellIs" dxfId="639" priority="41" stopIfTrue="1" operator="between">
      <formula>0.9365</formula>
      <formula>0.9635</formula>
    </cfRule>
    <cfRule type="cellIs" dxfId="638" priority="43" stopIfTrue="1" operator="between">
      <formula>0.8</formula>
      <formula>0.9</formula>
    </cfRule>
    <cfRule type="cellIs" dxfId="637" priority="44" stopIfTrue="1" operator="between">
      <formula>0</formula>
      <formula>0.8</formula>
    </cfRule>
    <cfRule type="cellIs" dxfId="636" priority="42" stopIfTrue="1" operator="between">
      <formula>0</formula>
      <formula>1</formula>
    </cfRule>
  </conditionalFormatting>
  <conditionalFormatting sqref="U45:U51">
    <cfRule type="cellIs" dxfId="635" priority="37" stopIfTrue="1" operator="between">
      <formula>0.9365</formula>
      <formula>0.9635</formula>
    </cfRule>
    <cfRule type="cellIs" dxfId="634" priority="38" stopIfTrue="1" operator="between">
      <formula>0</formula>
      <formula>1</formula>
    </cfRule>
    <cfRule type="cellIs" dxfId="633" priority="39" stopIfTrue="1" operator="between">
      <formula>0.8</formula>
      <formula>0.9</formula>
    </cfRule>
    <cfRule type="cellIs" dxfId="632" priority="40" stopIfTrue="1" operator="between">
      <formula>0</formula>
      <formula>0.8</formula>
    </cfRule>
  </conditionalFormatting>
  <conditionalFormatting sqref="U55:U61">
    <cfRule type="cellIs" dxfId="631" priority="2" stopIfTrue="1" operator="between">
      <formula>0</formula>
      <formula>1</formula>
    </cfRule>
    <cfRule type="cellIs" dxfId="630" priority="3" stopIfTrue="1" operator="between">
      <formula>0.8</formula>
      <formula>0.9</formula>
    </cfRule>
    <cfRule type="cellIs" dxfId="629" priority="4" stopIfTrue="1" operator="between">
      <formula>0</formula>
      <formula>0.8</formula>
    </cfRule>
    <cfRule type="cellIs" dxfId="628" priority="1" stopIfTrue="1" operator="between">
      <formula>0.9365</formula>
      <formula>0.9635</formula>
    </cfRule>
  </conditionalFormatting>
  <conditionalFormatting sqref="U65:U71">
    <cfRule type="cellIs" dxfId="627" priority="5" stopIfTrue="1" operator="between">
      <formula>0.9365</formula>
      <formula>0.9635</formula>
    </cfRule>
    <cfRule type="cellIs" dxfId="626" priority="6" stopIfTrue="1" operator="between">
      <formula>0</formula>
      <formula>1</formula>
    </cfRule>
    <cfRule type="cellIs" dxfId="625" priority="8" stopIfTrue="1" operator="between">
      <formula>0</formula>
      <formula>0.8</formula>
    </cfRule>
    <cfRule type="cellIs" dxfId="624" priority="7" stopIfTrue="1" operator="between">
      <formula>0.8</formula>
      <formula>0.9</formula>
    </cfRule>
  </conditionalFormatting>
  <conditionalFormatting sqref="AF5:AF11">
    <cfRule type="cellIs" dxfId="623" priority="191" stopIfTrue="1" operator="between">
      <formula>0</formula>
      <formula>1</formula>
    </cfRule>
    <cfRule type="cellIs" dxfId="622" priority="189" stopIfTrue="1" operator="between">
      <formula>0.9365</formula>
      <formula>0.9635</formula>
    </cfRule>
    <cfRule type="cellIs" dxfId="621" priority="190" stopIfTrue="1" operator="between">
      <formula>0.9095</formula>
      <formula>0.9905</formula>
    </cfRule>
    <cfRule type="cellIs" dxfId="620" priority="192" stopIfTrue="1" operator="between">
      <formula>0</formula>
      <formula>0.8</formula>
    </cfRule>
  </conditionalFormatting>
  <conditionalFormatting sqref="AF15:AF21">
    <cfRule type="cellIs" dxfId="619" priority="193" stopIfTrue="1" operator="between">
      <formula>0.9365</formula>
      <formula>0.9635</formula>
    </cfRule>
    <cfRule type="cellIs" dxfId="618" priority="194" stopIfTrue="1" operator="between">
      <formula>0.9095</formula>
      <formula>0.9905</formula>
    </cfRule>
    <cfRule type="cellIs" dxfId="617" priority="195" stopIfTrue="1" operator="between">
      <formula>0</formula>
      <formula>1</formula>
    </cfRule>
    <cfRule type="cellIs" dxfId="616" priority="196" stopIfTrue="1" operator="between">
      <formula>0</formula>
      <formula>0.8</formula>
    </cfRule>
  </conditionalFormatting>
  <conditionalFormatting sqref="AF25:AF31">
    <cfRule type="cellIs" dxfId="615" priority="270" stopIfTrue="1" operator="between">
      <formula>0.9</formula>
      <formula>0.95</formula>
    </cfRule>
    <cfRule type="cellIs" dxfId="614" priority="269" stopIfTrue="1" operator="between">
      <formula>0.95</formula>
      <formula>1</formula>
    </cfRule>
    <cfRule type="cellIs" dxfId="613" priority="272" stopIfTrue="1" operator="between">
      <formula>0</formula>
      <formula>0.8</formula>
    </cfRule>
    <cfRule type="cellIs" dxfId="612" priority="271" stopIfTrue="1" operator="between">
      <formula>0.8</formula>
      <formula>0.9</formula>
    </cfRule>
  </conditionalFormatting>
  <conditionalFormatting sqref="AF35:AF41">
    <cfRule type="cellIs" dxfId="611" priority="197" stopIfTrue="1" operator="between">
      <formula>0.9365</formula>
      <formula>0.9635</formula>
    </cfRule>
    <cfRule type="cellIs" dxfId="610" priority="198" stopIfTrue="1" operator="between">
      <formula>0.9095</formula>
      <formula>0.9905</formula>
    </cfRule>
    <cfRule type="cellIs" dxfId="609" priority="199" stopIfTrue="1" operator="between">
      <formula>0</formula>
      <formula>1</formula>
    </cfRule>
    <cfRule type="cellIs" dxfId="608" priority="200" stopIfTrue="1" operator="between">
      <formula>0</formula>
      <formula>0.8</formula>
    </cfRule>
  </conditionalFormatting>
  <conditionalFormatting sqref="AF45:AF51">
    <cfRule type="cellIs" dxfId="607" priority="205" stopIfTrue="1" operator="between">
      <formula>0.9365</formula>
      <formula>0.9635</formula>
    </cfRule>
    <cfRule type="cellIs" dxfId="606" priority="206" stopIfTrue="1" operator="between">
      <formula>0.9095</formula>
      <formula>0.9905</formula>
    </cfRule>
    <cfRule type="cellIs" dxfId="605" priority="207" stopIfTrue="1" operator="between">
      <formula>0</formula>
      <formula>1</formula>
    </cfRule>
    <cfRule type="cellIs" dxfId="604" priority="208" stopIfTrue="1" operator="between">
      <formula>0</formula>
      <formula>0.8</formula>
    </cfRule>
  </conditionalFormatting>
  <conditionalFormatting sqref="AF55:AF61">
    <cfRule type="cellIs" dxfId="603" priority="213" stopIfTrue="1" operator="between">
      <formula>0.9365</formula>
      <formula>0.9635</formula>
    </cfRule>
    <cfRule type="cellIs" dxfId="602" priority="216" stopIfTrue="1" operator="between">
      <formula>0</formula>
      <formula>0.8</formula>
    </cfRule>
    <cfRule type="cellIs" dxfId="601" priority="215" stopIfTrue="1" operator="between">
      <formula>0</formula>
      <formula>1</formula>
    </cfRule>
    <cfRule type="cellIs" dxfId="600" priority="214" stopIfTrue="1" operator="between">
      <formula>0.9095</formula>
      <formula>0.9905</formula>
    </cfRule>
  </conditionalFormatting>
  <conditionalFormatting sqref="AF65:AF71">
    <cfRule type="cellIs" dxfId="599" priority="220" stopIfTrue="1" operator="between">
      <formula>0</formula>
      <formula>0.8</formula>
    </cfRule>
    <cfRule type="cellIs" dxfId="598" priority="219" stopIfTrue="1" operator="between">
      <formula>0</formula>
      <formula>1</formula>
    </cfRule>
    <cfRule type="cellIs" dxfId="597" priority="218" stopIfTrue="1" operator="between">
      <formula>0.9095</formula>
      <formula>0.9905</formula>
    </cfRule>
    <cfRule type="cellIs" dxfId="596" priority="217" stopIfTrue="1" operator="between">
      <formula>0.9365</formula>
      <formula>0.9635</formula>
    </cfRule>
  </conditionalFormatting>
  <conditionalFormatting sqref="AQ5:AQ11">
    <cfRule type="cellIs" dxfId="595" priority="186" stopIfTrue="1" operator="between">
      <formula>0.9095</formula>
      <formula>0.9905</formula>
    </cfRule>
    <cfRule type="cellIs" dxfId="594" priority="188" stopIfTrue="1" operator="between">
      <formula>0</formula>
      <formula>0.8</formula>
    </cfRule>
    <cfRule type="cellIs" dxfId="593" priority="187" stopIfTrue="1" operator="between">
      <formula>0</formula>
      <formula>1</formula>
    </cfRule>
    <cfRule type="cellIs" dxfId="592" priority="185" stopIfTrue="1" operator="between">
      <formula>0.9365</formula>
      <formula>0.9635</formula>
    </cfRule>
  </conditionalFormatting>
  <conditionalFormatting sqref="AQ15:AQ21">
    <cfRule type="cellIs" dxfId="591" priority="181" stopIfTrue="1" operator="between">
      <formula>0.9365</formula>
      <formula>0.9635</formula>
    </cfRule>
    <cfRule type="cellIs" dxfId="590" priority="184" stopIfTrue="1" operator="between">
      <formula>0</formula>
      <formula>0.8</formula>
    </cfRule>
    <cfRule type="cellIs" dxfId="589" priority="183" stopIfTrue="1" operator="between">
      <formula>0</formula>
      <formula>1</formula>
    </cfRule>
    <cfRule type="cellIs" dxfId="588" priority="182" stopIfTrue="1" operator="between">
      <formula>0.9095</formula>
      <formula>0.9905</formula>
    </cfRule>
  </conditionalFormatting>
  <conditionalFormatting sqref="AQ25:AQ31">
    <cfRule type="cellIs" dxfId="587" priority="265" stopIfTrue="1" operator="between">
      <formula>0.95</formula>
      <formula>1</formula>
    </cfRule>
    <cfRule type="cellIs" dxfId="586" priority="266" stopIfTrue="1" operator="between">
      <formula>0.9</formula>
      <formula>0.95</formula>
    </cfRule>
    <cfRule type="cellIs" dxfId="585" priority="267" stopIfTrue="1" operator="between">
      <formula>0.8</formula>
      <formula>0.9</formula>
    </cfRule>
    <cfRule type="cellIs" dxfId="584" priority="268" stopIfTrue="1" operator="between">
      <formula>0</formula>
      <formula>0.8</formula>
    </cfRule>
  </conditionalFormatting>
  <conditionalFormatting sqref="AQ35:AQ41">
    <cfRule type="cellIs" dxfId="583" priority="180" stopIfTrue="1" operator="between">
      <formula>0</formula>
      <formula>0.8</formula>
    </cfRule>
    <cfRule type="cellIs" dxfId="582" priority="177" stopIfTrue="1" operator="between">
      <formula>0.9365</formula>
      <formula>0.9635</formula>
    </cfRule>
    <cfRule type="cellIs" dxfId="581" priority="179" stopIfTrue="1" operator="between">
      <formula>0</formula>
      <formula>1</formula>
    </cfRule>
    <cfRule type="cellIs" dxfId="580" priority="178" stopIfTrue="1" operator="between">
      <formula>0.9095</formula>
      <formula>0.9905</formula>
    </cfRule>
  </conditionalFormatting>
  <conditionalFormatting sqref="AQ45:AQ51">
    <cfRule type="cellIs" dxfId="579" priority="201" stopIfTrue="1" operator="between">
      <formula>0.9365</formula>
      <formula>0.9635</formula>
    </cfRule>
    <cfRule type="cellIs" dxfId="578" priority="202" stopIfTrue="1" operator="between">
      <formula>0.9095</formula>
      <formula>0.9905</formula>
    </cfRule>
    <cfRule type="cellIs" dxfId="577" priority="203" stopIfTrue="1" operator="between">
      <formula>0</formula>
      <formula>1</formula>
    </cfRule>
    <cfRule type="cellIs" dxfId="576" priority="204" stopIfTrue="1" operator="between">
      <formula>0</formula>
      <formula>0.8</formula>
    </cfRule>
  </conditionalFormatting>
  <conditionalFormatting sqref="AQ55:AQ61">
    <cfRule type="cellIs" dxfId="575" priority="209" stopIfTrue="1" operator="between">
      <formula>0.9365</formula>
      <formula>0.9635</formula>
    </cfRule>
    <cfRule type="cellIs" dxfId="574" priority="210" stopIfTrue="1" operator="between">
      <formula>0.9095</formula>
      <formula>0.9905</formula>
    </cfRule>
    <cfRule type="cellIs" dxfId="573" priority="211" stopIfTrue="1" operator="between">
      <formula>0</formula>
      <formula>1</formula>
    </cfRule>
    <cfRule type="cellIs" dxfId="572" priority="212" stopIfTrue="1" operator="between">
      <formula>0</formula>
      <formula>0.8</formula>
    </cfRule>
  </conditionalFormatting>
  <conditionalFormatting sqref="AQ65:AQ71">
    <cfRule type="cellIs" dxfId="571" priority="221" stopIfTrue="1" operator="between">
      <formula>0.9365</formula>
      <formula>0.9635</formula>
    </cfRule>
    <cfRule type="cellIs" dxfId="570" priority="222" stopIfTrue="1" operator="between">
      <formula>0.9095</formula>
      <formula>0.9905</formula>
    </cfRule>
    <cfRule type="cellIs" dxfId="569" priority="223" stopIfTrue="1" operator="between">
      <formula>0</formula>
      <formula>1</formula>
    </cfRule>
    <cfRule type="cellIs" dxfId="568" priority="224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A466F-184C-4EEF-969E-24BE54BD3A84}">
  <dimension ref="A1:AU71"/>
  <sheetViews>
    <sheetView zoomScaleNormal="100" workbookViewId="0"/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28" width="0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437</v>
      </c>
      <c r="J3" s="12" t="str">
        <f>INDEX('Method Codes'!$B:$B, MATCH(B3, 'Method Codes'!$I:$I,0))</f>
        <v>IND</v>
      </c>
      <c r="K3" s="12" t="str">
        <f>INDEX('Method Codes'!$H:$H, MATCH(B3, 'Method Codes'!$I:$I,0))</f>
        <v>1E</v>
      </c>
      <c r="M3" s="1" t="s">
        <v>503</v>
      </c>
      <c r="U3" s="12" t="str">
        <f>INDEX('Method Codes'!$B:$B, MATCH(M3, 'Method Codes'!$I:$I,0))</f>
        <v>EXCH</v>
      </c>
      <c r="V3" s="12" t="str">
        <f>INDEX('Method Codes'!$H:$H, MATCH(M3, 'Method Codes'!$I:$I,0))</f>
        <v>1E</v>
      </c>
      <c r="X3" s="1" t="s">
        <v>555</v>
      </c>
      <c r="AI3" s="1" t="s">
        <v>556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2.8573719999999998</v>
      </c>
      <c r="E5">
        <v>-0.278019242</v>
      </c>
      <c r="F5">
        <v>0.18451400000000001</v>
      </c>
      <c r="G5">
        <v>0.177678</v>
      </c>
      <c r="H5">
        <v>-3.7048315999999998E-2</v>
      </c>
      <c r="I5">
        <v>-8.8671314000000001E-2</v>
      </c>
      <c r="J5">
        <v>0.66400000000000003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">
        <v>2.8774329999999999</v>
      </c>
      <c r="P5">
        <v>-0.27645549600000002</v>
      </c>
      <c r="Q5">
        <v>0.18412100000000001</v>
      </c>
      <c r="R5">
        <v>0.179815</v>
      </c>
      <c r="S5">
        <v>-2.3387420999999999E-2</v>
      </c>
      <c r="T5">
        <v>-8.7655453999999994E-2</v>
      </c>
      <c r="U5">
        <v>0.67700000000000005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25">
      <c r="A6" s="14"/>
      <c r="B6" t="s">
        <v>13</v>
      </c>
      <c r="C6">
        <v>-0.44119999999999998</v>
      </c>
      <c r="D6">
        <v>-0.50186699999999995</v>
      </c>
      <c r="E6">
        <v>-6.0660614000000002E-2</v>
      </c>
      <c r="F6">
        <v>6.9795999999999997E-2</v>
      </c>
      <c r="G6">
        <v>6.7989999999999995E-2</v>
      </c>
      <c r="H6">
        <v>-2.5879583000000001E-2</v>
      </c>
      <c r="I6">
        <v>0.13748810280000001</v>
      </c>
      <c r="J6">
        <v>0.85799999999999998</v>
      </c>
      <c r="K6">
        <v>0</v>
      </c>
      <c r="M6" t="s">
        <v>13</v>
      </c>
      <c r="N6">
        <v>-0.434</v>
      </c>
      <c r="O6">
        <v>-0.49408299999999999</v>
      </c>
      <c r="P6">
        <v>-6.0122565000000003E-2</v>
      </c>
      <c r="Q6">
        <v>6.9847999999999993E-2</v>
      </c>
      <c r="R6">
        <v>6.8860000000000005E-2</v>
      </c>
      <c r="S6">
        <v>-1.4143733E-2</v>
      </c>
      <c r="T6">
        <v>0.13854401559999999</v>
      </c>
      <c r="U6">
        <v>0.86</v>
      </c>
      <c r="V6">
        <v>0</v>
      </c>
      <c r="X6" t="s">
        <v>13</v>
      </c>
      <c r="AI6" t="s">
        <v>13</v>
      </c>
      <c r="AS6" s="14"/>
    </row>
    <row r="7" spans="1:47" x14ac:dyDescent="0.25">
      <c r="A7" s="14"/>
      <c r="B7" t="s">
        <v>14</v>
      </c>
      <c r="C7">
        <v>-7.3000000000000001E-3</v>
      </c>
      <c r="D7">
        <v>-8.7819999999999999E-3</v>
      </c>
      <c r="E7">
        <v>-1.468067E-3</v>
      </c>
      <c r="F7">
        <v>3.5800999999999999E-2</v>
      </c>
      <c r="G7">
        <v>3.9300000000000002E-2</v>
      </c>
      <c r="H7">
        <v>9.7744886500000003E-2</v>
      </c>
      <c r="I7">
        <v>0.20072098620000001</v>
      </c>
      <c r="J7">
        <v>0.97299999999999998</v>
      </c>
      <c r="K7">
        <v>0</v>
      </c>
      <c r="M7" t="s">
        <v>14</v>
      </c>
      <c r="N7">
        <v>-7.6E-3</v>
      </c>
      <c r="O7">
        <v>-8.4229999999999999E-3</v>
      </c>
      <c r="P7">
        <v>-8.0547099999999999E-4</v>
      </c>
      <c r="Q7">
        <v>3.5878E-2</v>
      </c>
      <c r="R7">
        <v>3.9892999999999998E-2</v>
      </c>
      <c r="S7">
        <v>0.11191100380000001</v>
      </c>
      <c r="T7">
        <v>0.10573246779999999</v>
      </c>
      <c r="U7">
        <v>0.97499999999999998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25">
      <c r="A8" s="14"/>
      <c r="B8" t="s">
        <v>15</v>
      </c>
      <c r="C8">
        <v>-0.45419999999999999</v>
      </c>
      <c r="D8">
        <v>-0.37579299999999999</v>
      </c>
      <c r="E8">
        <v>7.8394661399999996E-2</v>
      </c>
      <c r="F8">
        <v>4.3583999999999998E-2</v>
      </c>
      <c r="G8">
        <v>4.2139000000000003E-2</v>
      </c>
      <c r="H8">
        <v>-3.3155455E-2</v>
      </c>
      <c r="I8">
        <v>-0.17260397</v>
      </c>
      <c r="J8">
        <v>0.56699999999999995</v>
      </c>
      <c r="K8">
        <v>0</v>
      </c>
      <c r="M8" t="s">
        <v>15</v>
      </c>
      <c r="N8">
        <v>-0.4551</v>
      </c>
      <c r="O8">
        <v>-0.376807</v>
      </c>
      <c r="P8">
        <v>7.8324886699999999E-2</v>
      </c>
      <c r="Q8">
        <v>4.3832000000000003E-2</v>
      </c>
      <c r="R8">
        <v>4.2911999999999999E-2</v>
      </c>
      <c r="S8">
        <v>-2.0996442000000001E-2</v>
      </c>
      <c r="T8">
        <v>-0.172092723</v>
      </c>
      <c r="U8">
        <v>0.58699999999999997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25">
      <c r="A9" s="14"/>
      <c r="B9" t="s">
        <v>16</v>
      </c>
      <c r="C9">
        <v>-8.2500000000000004E-2</v>
      </c>
      <c r="D9">
        <v>-8.2637000000000002E-2</v>
      </c>
      <c r="E9">
        <v>-9.4961000000000001E-5</v>
      </c>
      <c r="F9">
        <v>4.6428999999999998E-2</v>
      </c>
      <c r="G9">
        <v>5.0404999999999998E-2</v>
      </c>
      <c r="H9">
        <v>8.5636171600000005E-2</v>
      </c>
      <c r="I9">
        <v>1.1504505999999999E-3</v>
      </c>
      <c r="J9">
        <v>0.96499999999999997</v>
      </c>
      <c r="K9">
        <v>0</v>
      </c>
      <c r="M9" t="s">
        <v>16</v>
      </c>
      <c r="N9">
        <v>-8.0399999999999999E-2</v>
      </c>
      <c r="O9">
        <v>-7.8947000000000003E-2</v>
      </c>
      <c r="P9">
        <v>1.4593046E-3</v>
      </c>
      <c r="Q9">
        <v>4.6677999999999997E-2</v>
      </c>
      <c r="R9">
        <v>5.101E-2</v>
      </c>
      <c r="S9">
        <v>9.2808461199999998E-2</v>
      </c>
      <c r="T9">
        <v>-1.8149080000000001E-2</v>
      </c>
      <c r="U9">
        <v>0.96599999999999997</v>
      </c>
      <c r="V9">
        <v>0</v>
      </c>
      <c r="X9" t="s">
        <v>16</v>
      </c>
      <c r="AI9" t="s">
        <v>16</v>
      </c>
      <c r="AS9" s="14"/>
    </row>
    <row r="10" spans="1:47" x14ac:dyDescent="0.25">
      <c r="A10" s="14"/>
      <c r="B10" t="s">
        <v>17</v>
      </c>
      <c r="C10">
        <v>-0.12590000000000001</v>
      </c>
      <c r="D10">
        <v>-0.13537399999999999</v>
      </c>
      <c r="E10">
        <v>-9.4278869999999994E-3</v>
      </c>
      <c r="F10">
        <v>4.4759999999999999E-3</v>
      </c>
      <c r="G10">
        <v>4.5189999999999996E-3</v>
      </c>
      <c r="H10">
        <v>9.5396296000000002E-3</v>
      </c>
      <c r="I10">
        <v>7.48564112E-2</v>
      </c>
      <c r="J10">
        <v>0.499</v>
      </c>
      <c r="K10">
        <v>0</v>
      </c>
      <c r="M10" t="s">
        <v>17</v>
      </c>
      <c r="N10">
        <v>-0.1255</v>
      </c>
      <c r="O10">
        <v>-0.13481000000000001</v>
      </c>
      <c r="P10">
        <v>-9.345374E-3</v>
      </c>
      <c r="Q10">
        <v>4.5120000000000004E-3</v>
      </c>
      <c r="R10">
        <v>4.5389999999999996E-3</v>
      </c>
      <c r="S10">
        <v>6.0565955000000003E-3</v>
      </c>
      <c r="T10">
        <v>7.4486048900000004E-2</v>
      </c>
      <c r="U10">
        <v>0.504</v>
      </c>
      <c r="V10">
        <v>0</v>
      </c>
      <c r="X10" t="s">
        <v>17</v>
      </c>
      <c r="AI10" t="s">
        <v>17</v>
      </c>
      <c r="AS10" s="14"/>
    </row>
    <row r="11" spans="1:47" x14ac:dyDescent="0.25">
      <c r="A11" s="14"/>
      <c r="B11" t="s">
        <v>18</v>
      </c>
      <c r="C11">
        <v>-6.9999999999999999E-4</v>
      </c>
      <c r="D11">
        <v>-1.346E-3</v>
      </c>
      <c r="E11">
        <v>-6.3847000000000003E-4</v>
      </c>
      <c r="F11">
        <v>2.2550000000000001E-3</v>
      </c>
      <c r="G11">
        <v>2.349E-3</v>
      </c>
      <c r="H11">
        <v>4.1636460299999997E-2</v>
      </c>
      <c r="I11">
        <v>0.90216136800000002</v>
      </c>
      <c r="J11">
        <v>0.95299999999999996</v>
      </c>
      <c r="K11">
        <v>0</v>
      </c>
      <c r="M11" t="s">
        <v>18</v>
      </c>
      <c r="N11">
        <v>-1.1999999999999999E-3</v>
      </c>
      <c r="O11">
        <v>-1.9269999999999999E-3</v>
      </c>
      <c r="P11">
        <v>-7.3420799999999997E-4</v>
      </c>
      <c r="Q11">
        <v>2.2109999999999999E-3</v>
      </c>
      <c r="R11">
        <v>2.3479999999999998E-3</v>
      </c>
      <c r="S11">
        <v>6.1803109299999999E-2</v>
      </c>
      <c r="T11">
        <v>0.61575738840000005</v>
      </c>
      <c r="U11">
        <v>0.95299999999999996</v>
      </c>
      <c r="V11">
        <v>0</v>
      </c>
      <c r="X11" t="s">
        <v>18</v>
      </c>
      <c r="AI11" t="s">
        <v>18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451</v>
      </c>
      <c r="J13" s="12" t="str">
        <f>INDEX('Method Codes'!$B:$B, MATCH(B13, 'Method Codes'!$I:$I,0))</f>
        <v>IND</v>
      </c>
      <c r="K13" s="12" t="str">
        <f>INDEX('Method Codes'!H:H, MATCH(B13, 'Method Codes'!I:I,0))</f>
        <v>2I</v>
      </c>
      <c r="M13" s="1" t="s">
        <v>514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2I</v>
      </c>
      <c r="X13" s="1" t="s">
        <v>557</v>
      </c>
      <c r="AI13" s="1" t="s">
        <v>558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15">
        <v>2.8935010000000001</v>
      </c>
      <c r="P15">
        <v>-0.26038685499999997</v>
      </c>
      <c r="Q15">
        <v>0.17016899999999999</v>
      </c>
      <c r="R15">
        <v>0.16570199999999999</v>
      </c>
      <c r="S15">
        <v>-2.6255193E-2</v>
      </c>
      <c r="T15">
        <v>-8.2560587000000005E-2</v>
      </c>
      <c r="U15">
        <v>0.625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25">
      <c r="A16" s="14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-0.434</v>
      </c>
      <c r="O16">
        <v>-0.41435899999999998</v>
      </c>
      <c r="P16">
        <v>1.96013232E-2</v>
      </c>
      <c r="Q16">
        <v>6.5706000000000001E-2</v>
      </c>
      <c r="R16">
        <v>6.4047999999999994E-2</v>
      </c>
      <c r="S16">
        <v>-2.5231282000000001E-2</v>
      </c>
      <c r="T16">
        <v>-4.5168499000000001E-2</v>
      </c>
      <c r="U16">
        <v>0.93500000000000005</v>
      </c>
      <c r="V16">
        <v>1</v>
      </c>
      <c r="X16" t="s">
        <v>13</v>
      </c>
      <c r="AI16" t="s">
        <v>13</v>
      </c>
      <c r="AS16" s="14"/>
    </row>
    <row r="17" spans="1:47" x14ac:dyDescent="0.25">
      <c r="A17" s="14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0.05</v>
      </c>
      <c r="M17" t="s">
        <v>14</v>
      </c>
      <c r="N17">
        <v>-7.6E-3</v>
      </c>
      <c r="O17">
        <v>-7.1739999999999998E-3</v>
      </c>
      <c r="P17">
        <v>4.442432E-4</v>
      </c>
      <c r="Q17">
        <v>3.8261000000000003E-2</v>
      </c>
      <c r="R17">
        <v>3.9005999999999999E-2</v>
      </c>
      <c r="S17">
        <v>1.94824462E-2</v>
      </c>
      <c r="T17">
        <v>-5.8314853999999999E-2</v>
      </c>
      <c r="U17">
        <v>0.95599999999999996</v>
      </c>
      <c r="V17">
        <v>4.5999999999999999E-2</v>
      </c>
      <c r="X17" t="s">
        <v>14</v>
      </c>
      <c r="AI17" t="s">
        <v>14</v>
      </c>
      <c r="AS17" s="14"/>
    </row>
    <row r="18" spans="1:47" x14ac:dyDescent="0.25">
      <c r="A18" s="14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</v>
      </c>
      <c r="O18">
        <v>-0.40143200000000001</v>
      </c>
      <c r="P18">
        <v>5.3700006600000003E-2</v>
      </c>
      <c r="Q18">
        <v>4.0412999999999998E-2</v>
      </c>
      <c r="R18">
        <v>4.0157999999999999E-2</v>
      </c>
      <c r="S18">
        <v>-6.312336E-3</v>
      </c>
      <c r="T18">
        <v>-0.11798779099999999</v>
      </c>
      <c r="U18">
        <v>0.71599999999999997</v>
      </c>
      <c r="V18">
        <v>1</v>
      </c>
      <c r="X18" t="s">
        <v>15</v>
      </c>
      <c r="AI18" t="s">
        <v>15</v>
      </c>
      <c r="AS18" s="14"/>
    </row>
    <row r="19" spans="1:47" x14ac:dyDescent="0.25">
      <c r="A19" s="14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0.75800000000000001</v>
      </c>
      <c r="M19" t="s">
        <v>16</v>
      </c>
      <c r="N19">
        <v>-8.0399999999999999E-2</v>
      </c>
      <c r="O19">
        <v>-0.13131000000000001</v>
      </c>
      <c r="P19">
        <v>-5.0903087999999999E-2</v>
      </c>
      <c r="Q19">
        <v>5.0317000000000001E-2</v>
      </c>
      <c r="R19">
        <v>5.0610000000000002E-2</v>
      </c>
      <c r="S19">
        <v>5.8250341000000002E-3</v>
      </c>
      <c r="T19">
        <v>0.63307152889999996</v>
      </c>
      <c r="U19">
        <v>0.83099999999999996</v>
      </c>
      <c r="V19">
        <v>0.73499999999999999</v>
      </c>
      <c r="X19" t="s">
        <v>16</v>
      </c>
      <c r="AI19" t="s">
        <v>16</v>
      </c>
      <c r="AS19" s="14"/>
    </row>
    <row r="20" spans="1:47" x14ac:dyDescent="0.25">
      <c r="A20" s="14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-0.1255</v>
      </c>
      <c r="O20">
        <v>-0.13670599999999999</v>
      </c>
      <c r="P20">
        <v>-1.1241421E-2</v>
      </c>
      <c r="Q20">
        <v>4.2810000000000001E-3</v>
      </c>
      <c r="R20">
        <v>4.2220000000000001E-3</v>
      </c>
      <c r="S20">
        <v>-1.3607717E-2</v>
      </c>
      <c r="T20">
        <v>8.9598243499999994E-2</v>
      </c>
      <c r="U20">
        <v>0.255</v>
      </c>
      <c r="V20">
        <v>1</v>
      </c>
      <c r="X20" t="s">
        <v>17</v>
      </c>
      <c r="AI20" t="s">
        <v>17</v>
      </c>
      <c r="AS20" s="14"/>
    </row>
    <row r="21" spans="1:47" x14ac:dyDescent="0.25">
      <c r="A21" s="14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6.7000000000000004E-2</v>
      </c>
      <c r="M21" t="s">
        <v>18</v>
      </c>
      <c r="N21">
        <v>-1.1999999999999999E-3</v>
      </c>
      <c r="O21">
        <v>-7.6400000000000003E-4</v>
      </c>
      <c r="P21">
        <v>4.2824280000000001E-4</v>
      </c>
      <c r="Q21">
        <v>2.1800000000000001E-3</v>
      </c>
      <c r="R21">
        <v>2.1199999999999999E-3</v>
      </c>
      <c r="S21">
        <v>-2.7482093999999999E-2</v>
      </c>
      <c r="T21">
        <v>-0.35915405099999997</v>
      </c>
      <c r="U21">
        <v>0.93200000000000005</v>
      </c>
      <c r="V21">
        <v>6.9000000000000006E-2</v>
      </c>
      <c r="X21" t="s">
        <v>18</v>
      </c>
      <c r="AI21" t="s">
        <v>18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559</v>
      </c>
      <c r="M23" s="1" t="s">
        <v>560</v>
      </c>
      <c r="X23" s="1" t="s">
        <v>561</v>
      </c>
      <c r="AI23" s="1" t="s">
        <v>562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459</v>
      </c>
      <c r="J33" s="12" t="str">
        <f>INDEX('Method Codes'!$B:$B, MATCH(B33, 'Method Codes'!$I:$I,0))</f>
        <v>IND</v>
      </c>
      <c r="K33" s="12" t="str">
        <f>INDEX('Method Codes'!H:H, MATCH(B33, 'Method Codes'!I:I,0))</f>
        <v>3E</v>
      </c>
      <c r="M33" s="1" t="s">
        <v>521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3E</v>
      </c>
      <c r="X33" s="1" t="s">
        <v>563</v>
      </c>
      <c r="AI33" s="1" t="s">
        <v>564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3.1049980000000001</v>
      </c>
      <c r="E35">
        <v>-3.0393349E-2</v>
      </c>
      <c r="F35">
        <v>0.33857700000000002</v>
      </c>
      <c r="G35">
        <v>0.33873700000000001</v>
      </c>
      <c r="H35">
        <v>4.7439980000000002E-4</v>
      </c>
      <c r="I35">
        <v>-9.6936390000000004E-3</v>
      </c>
      <c r="J35">
        <v>0.94699999999999995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35">
        <v>3.1502750000000002</v>
      </c>
      <c r="P35">
        <v>-3.6130160000000001E-3</v>
      </c>
      <c r="Q35">
        <v>0.36110199999999998</v>
      </c>
      <c r="R35">
        <v>0.36297499999999999</v>
      </c>
      <c r="S35">
        <v>5.1890477000000003E-3</v>
      </c>
      <c r="T35">
        <v>-1.145575E-3</v>
      </c>
      <c r="U35">
        <v>0.95</v>
      </c>
      <c r="V35">
        <v>0</v>
      </c>
      <c r="X35" t="s">
        <v>12</v>
      </c>
      <c r="AI35" t="s">
        <v>12</v>
      </c>
      <c r="AS35" s="14"/>
    </row>
    <row r="36" spans="1:47" x14ac:dyDescent="0.25">
      <c r="A36" s="14"/>
      <c r="B36" t="s">
        <v>13</v>
      </c>
      <c r="C36">
        <v>-0.44119999999999998</v>
      </c>
      <c r="D36">
        <v>-0.64220100000000002</v>
      </c>
      <c r="E36">
        <v>-0.20099444399999999</v>
      </c>
      <c r="F36">
        <v>0.13172900000000001</v>
      </c>
      <c r="G36">
        <v>0.13362299999999999</v>
      </c>
      <c r="H36">
        <v>1.4374868799999999E-2</v>
      </c>
      <c r="I36">
        <v>0.45555662860000001</v>
      </c>
      <c r="J36">
        <v>0.70699999999999996</v>
      </c>
      <c r="K36">
        <v>0</v>
      </c>
      <c r="M36" t="s">
        <v>13</v>
      </c>
      <c r="N36">
        <v>-0.434</v>
      </c>
      <c r="O36">
        <v>-0.62409199999999998</v>
      </c>
      <c r="P36">
        <v>-0.19013210799999999</v>
      </c>
      <c r="Q36">
        <v>0.139405</v>
      </c>
      <c r="R36">
        <v>0.14172399999999999</v>
      </c>
      <c r="S36">
        <v>1.6631640699999999E-2</v>
      </c>
      <c r="T36">
        <v>0.4381327652</v>
      </c>
      <c r="U36">
        <v>0.76800000000000002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25">
      <c r="A37" s="14"/>
      <c r="B37" t="s">
        <v>14</v>
      </c>
      <c r="C37">
        <v>-7.3000000000000001E-3</v>
      </c>
      <c r="D37">
        <v>1.1181E-2</v>
      </c>
      <c r="E37">
        <v>1.84945727E-2</v>
      </c>
      <c r="F37">
        <v>6.2618999999999994E-2</v>
      </c>
      <c r="G37">
        <v>6.4349000000000003E-2</v>
      </c>
      <c r="H37">
        <v>2.7617144499999999E-2</v>
      </c>
      <c r="I37">
        <v>-2.5286643689999999</v>
      </c>
      <c r="J37">
        <v>0.95299999999999996</v>
      </c>
      <c r="K37">
        <v>0</v>
      </c>
      <c r="M37" t="s">
        <v>14</v>
      </c>
      <c r="N37">
        <v>-7.6E-3</v>
      </c>
      <c r="O37">
        <v>1.0787E-2</v>
      </c>
      <c r="P37">
        <v>1.84052548E-2</v>
      </c>
      <c r="Q37">
        <v>6.2386999999999998E-2</v>
      </c>
      <c r="R37">
        <v>6.4480999999999997E-2</v>
      </c>
      <c r="S37">
        <v>3.3562406400000001E-2</v>
      </c>
      <c r="T37">
        <v>-2.4160184020000002</v>
      </c>
      <c r="U37">
        <v>0.95199999999999996</v>
      </c>
      <c r="V37">
        <v>0</v>
      </c>
      <c r="X37" t="s">
        <v>14</v>
      </c>
      <c r="AI37" t="s">
        <v>14</v>
      </c>
      <c r="AS37" s="14"/>
    </row>
    <row r="38" spans="1:47" x14ac:dyDescent="0.25">
      <c r="A38" s="14"/>
      <c r="B38" t="s">
        <v>15</v>
      </c>
      <c r="C38">
        <v>-0.45419999999999999</v>
      </c>
      <c r="D38">
        <v>-0.34313199999999999</v>
      </c>
      <c r="E38">
        <v>0.1110561117</v>
      </c>
      <c r="F38">
        <v>6.8191000000000002E-2</v>
      </c>
      <c r="G38">
        <v>6.6740999999999995E-2</v>
      </c>
      <c r="H38">
        <v>-2.1260662E-2</v>
      </c>
      <c r="I38">
        <v>-0.244515704</v>
      </c>
      <c r="J38">
        <v>0.60699999999999998</v>
      </c>
      <c r="K38">
        <v>0</v>
      </c>
      <c r="M38" t="s">
        <v>15</v>
      </c>
      <c r="N38">
        <v>-0.4551</v>
      </c>
      <c r="O38">
        <v>-0.34473599999999999</v>
      </c>
      <c r="P38">
        <v>0.1103960292</v>
      </c>
      <c r="Q38">
        <v>7.1220000000000006E-2</v>
      </c>
      <c r="R38">
        <v>6.9751999999999995E-2</v>
      </c>
      <c r="S38">
        <v>-2.0619615000000001E-2</v>
      </c>
      <c r="T38">
        <v>-0.24255832399999999</v>
      </c>
      <c r="U38">
        <v>0.63100000000000001</v>
      </c>
      <c r="V38">
        <v>0</v>
      </c>
      <c r="X38" t="s">
        <v>15</v>
      </c>
      <c r="AI38" t="s">
        <v>15</v>
      </c>
      <c r="AS38" s="14"/>
    </row>
    <row r="39" spans="1:47" x14ac:dyDescent="0.25">
      <c r="A39" s="14"/>
      <c r="B39" t="s">
        <v>16</v>
      </c>
      <c r="C39">
        <v>-8.2500000000000004E-2</v>
      </c>
      <c r="D39">
        <v>-3.6193000000000003E-2</v>
      </c>
      <c r="E39">
        <v>4.6348952399999997E-2</v>
      </c>
      <c r="F39">
        <v>8.1906999999999994E-2</v>
      </c>
      <c r="G39">
        <v>8.3443000000000003E-2</v>
      </c>
      <c r="H39">
        <v>1.8752912100000001E-2</v>
      </c>
      <c r="I39">
        <v>-0.56151680900000001</v>
      </c>
      <c r="J39">
        <v>0.91900000000000004</v>
      </c>
      <c r="K39">
        <v>0</v>
      </c>
      <c r="M39" t="s">
        <v>16</v>
      </c>
      <c r="N39">
        <v>-8.0399999999999999E-2</v>
      </c>
      <c r="O39">
        <v>-3.4223999999999997E-2</v>
      </c>
      <c r="P39">
        <v>4.6182757300000002E-2</v>
      </c>
      <c r="Q39">
        <v>8.2293000000000005E-2</v>
      </c>
      <c r="R39">
        <v>8.3600999999999995E-2</v>
      </c>
      <c r="S39">
        <v>1.5885097800000001E-2</v>
      </c>
      <c r="T39">
        <v>-0.57436572500000005</v>
      </c>
      <c r="U39">
        <v>0.92400000000000004</v>
      </c>
      <c r="V39">
        <v>0</v>
      </c>
      <c r="X39" t="s">
        <v>16</v>
      </c>
      <c r="AI39" t="s">
        <v>16</v>
      </c>
      <c r="AS39" s="14"/>
    </row>
    <row r="40" spans="1:47" x14ac:dyDescent="0.25">
      <c r="A40" s="14"/>
      <c r="B40" t="s">
        <v>17</v>
      </c>
      <c r="C40">
        <v>-0.12590000000000001</v>
      </c>
      <c r="D40">
        <v>-0.118815</v>
      </c>
      <c r="E40">
        <v>7.1309440999999998E-3</v>
      </c>
      <c r="F40">
        <v>9.4830000000000001E-3</v>
      </c>
      <c r="G40">
        <v>9.672E-3</v>
      </c>
      <c r="H40">
        <v>1.9844222200000001E-2</v>
      </c>
      <c r="I40">
        <v>-5.6618930999999997E-2</v>
      </c>
      <c r="J40">
        <v>0.86099999999999999</v>
      </c>
      <c r="K40">
        <v>0</v>
      </c>
      <c r="M40" t="s">
        <v>17</v>
      </c>
      <c r="N40">
        <v>-0.1255</v>
      </c>
      <c r="O40">
        <v>-0.117951</v>
      </c>
      <c r="P40">
        <v>7.5141703999999998E-3</v>
      </c>
      <c r="Q40">
        <v>9.9310000000000006E-3</v>
      </c>
      <c r="R40">
        <v>1.0119E-2</v>
      </c>
      <c r="S40">
        <v>1.8902958800000001E-2</v>
      </c>
      <c r="T40">
        <v>-5.9890687999999997E-2</v>
      </c>
      <c r="U40">
        <v>0.85399999999999998</v>
      </c>
      <c r="V40">
        <v>0</v>
      </c>
      <c r="X40" t="s">
        <v>17</v>
      </c>
      <c r="AI40" t="s">
        <v>17</v>
      </c>
      <c r="AS40" s="14"/>
    </row>
    <row r="41" spans="1:47" x14ac:dyDescent="0.25">
      <c r="A41" s="14"/>
      <c r="B41" t="s">
        <v>18</v>
      </c>
      <c r="C41">
        <v>-6.9999999999999999E-4</v>
      </c>
      <c r="D41">
        <v>-9.1990000000000006E-3</v>
      </c>
      <c r="E41">
        <v>-8.4913739999999995E-3</v>
      </c>
      <c r="F41">
        <v>6.8789999999999997E-3</v>
      </c>
      <c r="G41">
        <v>7.1199999999999996E-3</v>
      </c>
      <c r="H41">
        <v>3.5074511500000002E-2</v>
      </c>
      <c r="I41">
        <v>11.998354616</v>
      </c>
      <c r="J41">
        <v>0.755</v>
      </c>
      <c r="K41">
        <v>0</v>
      </c>
      <c r="M41" t="s">
        <v>18</v>
      </c>
      <c r="N41">
        <v>-1.1999999999999999E-3</v>
      </c>
      <c r="O41">
        <v>-1.0186000000000001E-2</v>
      </c>
      <c r="P41">
        <v>-8.9936579999999999E-3</v>
      </c>
      <c r="Q41">
        <v>7.3990000000000002E-3</v>
      </c>
      <c r="R41">
        <v>7.6579999999999999E-3</v>
      </c>
      <c r="S41">
        <v>3.4991804100000003E-2</v>
      </c>
      <c r="T41">
        <v>7.5427037381000002</v>
      </c>
      <c r="U41">
        <v>0.75800000000000001</v>
      </c>
      <c r="V41">
        <v>0</v>
      </c>
      <c r="X41" t="s">
        <v>18</v>
      </c>
      <c r="AI41" t="s">
        <v>18</v>
      </c>
      <c r="AS41" s="14"/>
    </row>
    <row r="43" spans="1:47" ht="14.45" customHeight="1" x14ac:dyDescent="0.25">
      <c r="A43" s="13" t="s">
        <v>70</v>
      </c>
      <c r="B43" s="1" t="s">
        <v>471</v>
      </c>
      <c r="J43" s="12" t="str">
        <f>INDEX('Method Codes'!$B:$B, MATCH(B43, 'Method Codes'!$I:$I,0))</f>
        <v>IND</v>
      </c>
      <c r="K43" s="12" t="str">
        <f>INDEX('Method Codes'!H:H, MATCH(B43, 'Method Codes'!I:I,0))</f>
        <v>4I</v>
      </c>
      <c r="M43" s="1" t="s">
        <v>532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4I</v>
      </c>
      <c r="X43" s="1" t="s">
        <v>565</v>
      </c>
      <c r="AI43" s="1" t="s">
        <v>566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3.0588950000000001</v>
      </c>
      <c r="E45">
        <v>-7.6495590000000002E-2</v>
      </c>
      <c r="F45">
        <v>0.287219</v>
      </c>
      <c r="G45">
        <v>0.267731</v>
      </c>
      <c r="H45">
        <v>-6.7848960999999999E-2</v>
      </c>
      <c r="I45">
        <v>-2.4397464000000001E-2</v>
      </c>
      <c r="J45">
        <v>0.92300000000000004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45">
        <v>3.121445</v>
      </c>
      <c r="P45">
        <v>-3.2443307999999997E-2</v>
      </c>
      <c r="Q45">
        <v>0.31054199999999998</v>
      </c>
      <c r="R45">
        <v>0.28809299999999999</v>
      </c>
      <c r="S45">
        <v>-7.2290117000000001E-2</v>
      </c>
      <c r="T45">
        <v>-1.0286765999999999E-2</v>
      </c>
      <c r="U45">
        <v>0.93300000000000005</v>
      </c>
      <c r="V45">
        <v>1</v>
      </c>
      <c r="X45" t="s">
        <v>12</v>
      </c>
      <c r="AI45" t="s">
        <v>12</v>
      </c>
      <c r="AS45" s="14"/>
    </row>
    <row r="46" spans="1:47" x14ac:dyDescent="0.25">
      <c r="A46" s="14"/>
      <c r="B46" t="s">
        <v>13</v>
      </c>
      <c r="C46">
        <v>-0.44119999999999998</v>
      </c>
      <c r="D46">
        <v>-0.43416399999999999</v>
      </c>
      <c r="E46">
        <v>7.0419061999999998E-3</v>
      </c>
      <c r="F46">
        <v>0.112938</v>
      </c>
      <c r="G46">
        <v>0.108402</v>
      </c>
      <c r="H46">
        <v>-4.0162555000000003E-2</v>
      </c>
      <c r="I46">
        <v>-1.5960576000000001E-2</v>
      </c>
      <c r="J46">
        <v>0.94</v>
      </c>
      <c r="K46">
        <v>0.97299999999999998</v>
      </c>
      <c r="M46" t="s">
        <v>13</v>
      </c>
      <c r="N46">
        <v>-0.434</v>
      </c>
      <c r="O46">
        <v>-0.42142200000000002</v>
      </c>
      <c r="P46">
        <v>1.25380952E-2</v>
      </c>
      <c r="Q46">
        <v>0.120008</v>
      </c>
      <c r="R46">
        <v>0.11482000000000001</v>
      </c>
      <c r="S46">
        <v>-4.3231483000000001E-2</v>
      </c>
      <c r="T46">
        <v>-2.8892280999999999E-2</v>
      </c>
      <c r="U46">
        <v>0.94199999999999995</v>
      </c>
      <c r="V46">
        <v>0.95</v>
      </c>
      <c r="X46" t="s">
        <v>13</v>
      </c>
      <c r="AI46" t="s">
        <v>13</v>
      </c>
      <c r="AS46" s="14"/>
    </row>
    <row r="47" spans="1:47" x14ac:dyDescent="0.25">
      <c r="A47" s="14"/>
      <c r="B47" t="s">
        <v>14</v>
      </c>
      <c r="C47">
        <v>-7.3000000000000001E-3</v>
      </c>
      <c r="D47">
        <v>-1.218E-2</v>
      </c>
      <c r="E47">
        <v>-4.8663229999999997E-3</v>
      </c>
      <c r="F47">
        <v>6.3225000000000003E-2</v>
      </c>
      <c r="G47">
        <v>6.4531000000000005E-2</v>
      </c>
      <c r="H47">
        <v>2.0657732500000001E-2</v>
      </c>
      <c r="I47">
        <v>0.665346459</v>
      </c>
      <c r="J47">
        <v>0.96</v>
      </c>
      <c r="K47">
        <v>4.8000000000000001E-2</v>
      </c>
      <c r="M47" t="s">
        <v>14</v>
      </c>
      <c r="N47">
        <v>-7.6E-3</v>
      </c>
      <c r="O47">
        <v>-1.2028E-2</v>
      </c>
      <c r="P47">
        <v>-4.4103120000000004E-3</v>
      </c>
      <c r="Q47">
        <v>6.5965999999999997E-2</v>
      </c>
      <c r="R47">
        <v>6.7446000000000006E-2</v>
      </c>
      <c r="S47">
        <v>2.2431162300000002E-2</v>
      </c>
      <c r="T47">
        <v>0.57893219389999995</v>
      </c>
      <c r="U47">
        <v>0.96</v>
      </c>
      <c r="V47">
        <v>4.5999999999999999E-2</v>
      </c>
      <c r="X47" t="s">
        <v>14</v>
      </c>
      <c r="AI47" t="s">
        <v>14</v>
      </c>
      <c r="AS47" s="14"/>
    </row>
    <row r="48" spans="1:47" x14ac:dyDescent="0.25">
      <c r="A48" s="14"/>
      <c r="B48" t="s">
        <v>15</v>
      </c>
      <c r="C48">
        <v>-0.45419999999999999</v>
      </c>
      <c r="D48">
        <v>-0.44059799999999999</v>
      </c>
      <c r="E48">
        <v>1.35898163E-2</v>
      </c>
      <c r="F48">
        <v>6.9922999999999999E-2</v>
      </c>
      <c r="G48">
        <v>6.5898999999999999E-2</v>
      </c>
      <c r="H48">
        <v>-5.7546400999999997E-2</v>
      </c>
      <c r="I48">
        <v>-2.9921122000000001E-2</v>
      </c>
      <c r="J48">
        <v>0.93200000000000005</v>
      </c>
      <c r="K48">
        <v>1</v>
      </c>
      <c r="M48" t="s">
        <v>15</v>
      </c>
      <c r="N48">
        <v>-0.4551</v>
      </c>
      <c r="O48">
        <v>-0.44963199999999998</v>
      </c>
      <c r="P48">
        <v>5.4999208000000004E-3</v>
      </c>
      <c r="Q48">
        <v>7.6446E-2</v>
      </c>
      <c r="R48">
        <v>7.1529999999999996E-2</v>
      </c>
      <c r="S48">
        <v>-6.4303577000000001E-2</v>
      </c>
      <c r="T48">
        <v>-1.2084235E-2</v>
      </c>
      <c r="U48">
        <v>0.93200000000000005</v>
      </c>
      <c r="V48">
        <v>1</v>
      </c>
      <c r="X48" t="s">
        <v>15</v>
      </c>
      <c r="AI48" t="s">
        <v>15</v>
      </c>
      <c r="AS48" s="14"/>
    </row>
    <row r="49" spans="1:45" x14ac:dyDescent="0.25">
      <c r="A49" s="14"/>
      <c r="B49" t="s">
        <v>16</v>
      </c>
      <c r="C49">
        <v>-8.2500000000000004E-2</v>
      </c>
      <c r="D49">
        <v>-9.1608999999999996E-2</v>
      </c>
      <c r="E49">
        <v>-9.0667809999999995E-3</v>
      </c>
      <c r="F49">
        <v>8.5597999999999994E-2</v>
      </c>
      <c r="G49">
        <v>8.5654999999999995E-2</v>
      </c>
      <c r="H49">
        <v>6.6398230000000002E-4</v>
      </c>
      <c r="I49">
        <v>0.1098439074</v>
      </c>
      <c r="J49">
        <v>0.95299999999999996</v>
      </c>
      <c r="K49">
        <v>0.191</v>
      </c>
      <c r="M49" t="s">
        <v>16</v>
      </c>
      <c r="N49">
        <v>-8.0399999999999999E-2</v>
      </c>
      <c r="O49">
        <v>-8.7859999999999994E-2</v>
      </c>
      <c r="P49">
        <v>-7.4539589999999996E-3</v>
      </c>
      <c r="Q49">
        <v>8.9536000000000004E-2</v>
      </c>
      <c r="R49">
        <v>8.9052999999999993E-2</v>
      </c>
      <c r="S49">
        <v>-5.3877639999999997E-3</v>
      </c>
      <c r="T49">
        <v>9.2703398199999995E-2</v>
      </c>
      <c r="U49">
        <v>0.95399999999999996</v>
      </c>
      <c r="V49">
        <v>0.17299999999999999</v>
      </c>
      <c r="X49" t="s">
        <v>16</v>
      </c>
      <c r="AI49" t="s">
        <v>16</v>
      </c>
      <c r="AS49" s="14"/>
    </row>
    <row r="50" spans="1:45" x14ac:dyDescent="0.25">
      <c r="A50" s="14"/>
      <c r="B50" t="s">
        <v>17</v>
      </c>
      <c r="C50">
        <v>-0.12590000000000001</v>
      </c>
      <c r="D50">
        <v>-0.12548200000000001</v>
      </c>
      <c r="E50">
        <v>4.6456479999999999E-4</v>
      </c>
      <c r="F50">
        <v>6.7149999999999996E-3</v>
      </c>
      <c r="G50">
        <v>6.894E-3</v>
      </c>
      <c r="H50">
        <v>2.6784812200000001E-2</v>
      </c>
      <c r="I50">
        <v>-3.6885939999999999E-3</v>
      </c>
      <c r="J50">
        <v>0.95199999999999996</v>
      </c>
      <c r="K50">
        <v>1</v>
      </c>
      <c r="M50" t="s">
        <v>17</v>
      </c>
      <c r="N50">
        <v>-0.1255</v>
      </c>
      <c r="O50">
        <v>-0.12512799999999999</v>
      </c>
      <c r="P50">
        <v>3.370987E-4</v>
      </c>
      <c r="Q50">
        <v>6.8329999999999997E-3</v>
      </c>
      <c r="R50">
        <v>6.9639999999999997E-3</v>
      </c>
      <c r="S50">
        <v>1.90904465E-2</v>
      </c>
      <c r="T50">
        <v>-2.6868E-3</v>
      </c>
      <c r="U50">
        <v>0.95299999999999996</v>
      </c>
      <c r="V50">
        <v>1</v>
      </c>
      <c r="X50" t="s">
        <v>17</v>
      </c>
      <c r="AI50" t="s">
        <v>17</v>
      </c>
      <c r="AS50" s="14"/>
    </row>
    <row r="51" spans="1:45" x14ac:dyDescent="0.25">
      <c r="A51" s="14"/>
      <c r="B51" t="s">
        <v>18</v>
      </c>
      <c r="C51">
        <v>-6.9999999999999999E-4</v>
      </c>
      <c r="D51">
        <v>-9.6900000000000003E-4</v>
      </c>
      <c r="E51">
        <v>-2.61413E-4</v>
      </c>
      <c r="F51">
        <v>3.5179999999999999E-3</v>
      </c>
      <c r="G51">
        <v>3.418E-3</v>
      </c>
      <c r="H51">
        <v>-2.8182628000000001E-2</v>
      </c>
      <c r="I51">
        <v>0.36937821910000002</v>
      </c>
      <c r="J51">
        <v>0.94299999999999995</v>
      </c>
      <c r="K51">
        <v>6.8000000000000005E-2</v>
      </c>
      <c r="M51" t="s">
        <v>18</v>
      </c>
      <c r="N51">
        <v>-1.1999999999999999E-3</v>
      </c>
      <c r="O51">
        <v>-1.407E-3</v>
      </c>
      <c r="P51">
        <v>-2.1504900000000001E-4</v>
      </c>
      <c r="Q51">
        <v>3.5049999999999999E-3</v>
      </c>
      <c r="R51">
        <v>3.4290000000000002E-3</v>
      </c>
      <c r="S51">
        <v>-2.1809177999999999E-2</v>
      </c>
      <c r="T51">
        <v>0.18035455419999999</v>
      </c>
      <c r="U51">
        <v>0.94</v>
      </c>
      <c r="V51">
        <v>7.6999999999999999E-2</v>
      </c>
      <c r="X51" t="s">
        <v>18</v>
      </c>
      <c r="AI51" t="s">
        <v>18</v>
      </c>
      <c r="AS51" s="14"/>
    </row>
    <row r="53" spans="1:45" ht="14.45" customHeight="1" x14ac:dyDescent="0.25">
      <c r="A53" s="13" t="s">
        <v>97</v>
      </c>
      <c r="B53" s="1" t="s">
        <v>479</v>
      </c>
      <c r="J53" s="12" t="str">
        <f>INDEX('Method Codes'!$B:$B, MATCH(B53, 'Method Codes'!$I:$I,0))</f>
        <v>IND</v>
      </c>
      <c r="K53" s="12" t="str">
        <f>INDEX('Method Codes'!H:H, MATCH(B53, 'Method Codes'!I:I,0))</f>
        <v>5E</v>
      </c>
      <c r="M53" s="1" t="s">
        <v>539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5E</v>
      </c>
      <c r="X53" s="1" t="s">
        <v>567</v>
      </c>
      <c r="AI53" s="1" t="s">
        <v>568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3.3673060000000001</v>
      </c>
      <c r="E55">
        <v>0.23191547539999999</v>
      </c>
      <c r="F55">
        <v>0.27139000000000002</v>
      </c>
      <c r="G55">
        <v>0.27073399999999997</v>
      </c>
      <c r="H55">
        <v>-2.4169410000000001E-3</v>
      </c>
      <c r="I55">
        <v>7.3967002500000004E-2</v>
      </c>
      <c r="J55">
        <v>0.88500000000000001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5">
        <v>3.4004940000000001</v>
      </c>
      <c r="P55">
        <v>0.24660612060000001</v>
      </c>
      <c r="Q55">
        <v>0.28722500000000001</v>
      </c>
      <c r="R55">
        <v>0.29222999999999999</v>
      </c>
      <c r="S55">
        <v>1.74239752E-2</v>
      </c>
      <c r="T55">
        <v>7.8191143699999993E-2</v>
      </c>
      <c r="U55">
        <v>0.88600000000000001</v>
      </c>
      <c r="V55">
        <v>0</v>
      </c>
      <c r="X55" t="s">
        <v>12</v>
      </c>
      <c r="AI55" t="s">
        <v>12</v>
      </c>
      <c r="AS55" s="14"/>
    </row>
    <row r="56" spans="1:45" x14ac:dyDescent="0.25">
      <c r="A56" s="14"/>
      <c r="B56" t="s">
        <v>13</v>
      </c>
      <c r="C56">
        <v>-0.44119999999999998</v>
      </c>
      <c r="D56">
        <v>-0.65343899999999999</v>
      </c>
      <c r="E56">
        <v>-0.212232684</v>
      </c>
      <c r="F56">
        <v>9.2954999999999996E-2</v>
      </c>
      <c r="G56">
        <v>9.5856999999999998E-2</v>
      </c>
      <c r="H56">
        <v>3.1222744600000001E-2</v>
      </c>
      <c r="I56">
        <v>0.48102825119999998</v>
      </c>
      <c r="J56">
        <v>0.47399999999999998</v>
      </c>
      <c r="K56">
        <v>0</v>
      </c>
      <c r="M56" t="s">
        <v>13</v>
      </c>
      <c r="N56">
        <v>-0.434</v>
      </c>
      <c r="O56">
        <v>-0.66037900000000005</v>
      </c>
      <c r="P56">
        <v>-0.226419328</v>
      </c>
      <c r="Q56">
        <v>9.7109000000000001E-2</v>
      </c>
      <c r="R56">
        <v>0.101477</v>
      </c>
      <c r="S56">
        <v>4.4973627400000001E-2</v>
      </c>
      <c r="T56">
        <v>0.52175157179999998</v>
      </c>
      <c r="U56">
        <v>0.46100000000000002</v>
      </c>
      <c r="V56">
        <v>0</v>
      </c>
      <c r="X56" t="s">
        <v>13</v>
      </c>
      <c r="AI56" t="s">
        <v>13</v>
      </c>
      <c r="AS56" s="14"/>
    </row>
    <row r="57" spans="1:45" x14ac:dyDescent="0.25">
      <c r="A57" s="14"/>
      <c r="B57" t="s">
        <v>14</v>
      </c>
      <c r="C57">
        <v>-7.3000000000000001E-3</v>
      </c>
      <c r="D57">
        <v>2.6589999999999999E-3</v>
      </c>
      <c r="E57">
        <v>9.9724897E-3</v>
      </c>
      <c r="F57">
        <v>4.2452999999999998E-2</v>
      </c>
      <c r="G57">
        <v>5.2137000000000003E-2</v>
      </c>
      <c r="H57">
        <v>0.22810275869999999</v>
      </c>
      <c r="I57">
        <v>-1.36348537</v>
      </c>
      <c r="J57">
        <v>0.97799999999999998</v>
      </c>
      <c r="K57">
        <v>0</v>
      </c>
      <c r="M57" t="s">
        <v>14</v>
      </c>
      <c r="N57">
        <v>-7.6E-3</v>
      </c>
      <c r="O57">
        <v>2.3140000000000001E-3</v>
      </c>
      <c r="P57">
        <v>9.9319865E-3</v>
      </c>
      <c r="Q57">
        <v>4.3333000000000003E-2</v>
      </c>
      <c r="R57">
        <v>5.4012999999999999E-2</v>
      </c>
      <c r="S57">
        <v>0.24647429949999999</v>
      </c>
      <c r="T57">
        <v>-1.3037506059999999</v>
      </c>
      <c r="U57">
        <v>0.98099999999999998</v>
      </c>
      <c r="V57">
        <v>0</v>
      </c>
      <c r="X57" t="s">
        <v>14</v>
      </c>
      <c r="AI57" t="s">
        <v>14</v>
      </c>
      <c r="AS57" s="14"/>
    </row>
    <row r="58" spans="1:45" x14ac:dyDescent="0.25">
      <c r="A58" s="14"/>
      <c r="B58" t="s">
        <v>15</v>
      </c>
      <c r="C58">
        <v>-0.45419999999999999</v>
      </c>
      <c r="D58">
        <v>-0.38601099999999999</v>
      </c>
      <c r="E58">
        <v>6.8177130700000005E-2</v>
      </c>
      <c r="F58">
        <v>5.0224999999999999E-2</v>
      </c>
      <c r="G58">
        <v>5.5810999999999999E-2</v>
      </c>
      <c r="H58">
        <v>0.1112240006</v>
      </c>
      <c r="I58">
        <v>-0.150107714</v>
      </c>
      <c r="J58">
        <v>0.80900000000000005</v>
      </c>
      <c r="K58">
        <v>0</v>
      </c>
      <c r="M58" t="s">
        <v>15</v>
      </c>
      <c r="N58">
        <v>-0.4551</v>
      </c>
      <c r="O58">
        <v>-0.37456699999999998</v>
      </c>
      <c r="P58">
        <v>8.05645111E-2</v>
      </c>
      <c r="Q58">
        <v>5.3166999999999999E-2</v>
      </c>
      <c r="R58">
        <v>6.0394000000000003E-2</v>
      </c>
      <c r="S58">
        <v>0.1359427218</v>
      </c>
      <c r="T58">
        <v>-0.17701354799999999</v>
      </c>
      <c r="U58">
        <v>0.79</v>
      </c>
      <c r="V58">
        <v>0</v>
      </c>
      <c r="X58" t="s">
        <v>15</v>
      </c>
      <c r="AI58" t="s">
        <v>15</v>
      </c>
      <c r="AS58" s="14"/>
    </row>
    <row r="59" spans="1:45" x14ac:dyDescent="0.25">
      <c r="A59" s="14"/>
      <c r="B59" t="s">
        <v>16</v>
      </c>
      <c r="C59">
        <v>-8.2500000000000004E-2</v>
      </c>
      <c r="D59">
        <v>-2.7049E-2</v>
      </c>
      <c r="E59">
        <v>5.54931725E-2</v>
      </c>
      <c r="F59">
        <v>5.4951E-2</v>
      </c>
      <c r="G59">
        <v>6.2767000000000003E-2</v>
      </c>
      <c r="H59">
        <v>0.1422507284</v>
      </c>
      <c r="I59">
        <v>-0.67229888699999996</v>
      </c>
      <c r="J59">
        <v>0.88600000000000001</v>
      </c>
      <c r="K59">
        <v>0</v>
      </c>
      <c r="M59" t="s">
        <v>16</v>
      </c>
      <c r="N59">
        <v>-8.0399999999999999E-2</v>
      </c>
      <c r="O59">
        <v>-2.1399999999999999E-2</v>
      </c>
      <c r="P59">
        <v>5.9006639800000003E-2</v>
      </c>
      <c r="Q59">
        <v>5.5941999999999999E-2</v>
      </c>
      <c r="R59">
        <v>6.4883999999999997E-2</v>
      </c>
      <c r="S59">
        <v>0.15984927909999999</v>
      </c>
      <c r="T59">
        <v>-0.73385378899999998</v>
      </c>
      <c r="U59">
        <v>0.876</v>
      </c>
      <c r="V59">
        <v>0</v>
      </c>
      <c r="X59" t="s">
        <v>16</v>
      </c>
      <c r="AI59" t="s">
        <v>16</v>
      </c>
      <c r="AS59" s="14"/>
    </row>
    <row r="60" spans="1:45" x14ac:dyDescent="0.25">
      <c r="A60" s="14"/>
      <c r="B60" t="s">
        <v>17</v>
      </c>
      <c r="C60">
        <v>-0.12590000000000001</v>
      </c>
      <c r="D60">
        <v>-0.14551600000000001</v>
      </c>
      <c r="E60">
        <v>-1.9569374E-2</v>
      </c>
      <c r="F60">
        <v>7.9699999999999997E-3</v>
      </c>
      <c r="G60">
        <v>7.4009999999999996E-3</v>
      </c>
      <c r="H60">
        <v>-7.1332066E-2</v>
      </c>
      <c r="I60">
        <v>0.15537872580000001</v>
      </c>
      <c r="J60">
        <v>0.34</v>
      </c>
      <c r="K60">
        <v>0</v>
      </c>
      <c r="M60" t="s">
        <v>17</v>
      </c>
      <c r="N60">
        <v>-0.1255</v>
      </c>
      <c r="O60">
        <v>-0.14904700000000001</v>
      </c>
      <c r="P60">
        <v>-2.3582525E-2</v>
      </c>
      <c r="Q60">
        <v>8.4899999999999993E-3</v>
      </c>
      <c r="R60">
        <v>7.7089999999999997E-3</v>
      </c>
      <c r="S60">
        <v>-9.2057601000000003E-2</v>
      </c>
      <c r="T60">
        <v>0.18796135789999999</v>
      </c>
      <c r="U60">
        <v>0.23699999999999999</v>
      </c>
      <c r="V60">
        <v>0</v>
      </c>
      <c r="X60" t="s">
        <v>17</v>
      </c>
      <c r="AI60" t="s">
        <v>17</v>
      </c>
      <c r="AS60" s="14"/>
    </row>
    <row r="61" spans="1:45" x14ac:dyDescent="0.25">
      <c r="A61" s="14"/>
      <c r="B61" t="s">
        <v>18</v>
      </c>
      <c r="C61">
        <v>-6.9999999999999999E-4</v>
      </c>
      <c r="D61">
        <v>-5.0140000000000002E-3</v>
      </c>
      <c r="E61">
        <v>-4.3062830000000002E-3</v>
      </c>
      <c r="F61">
        <v>4.3020000000000003E-3</v>
      </c>
      <c r="G61">
        <v>4.4149999999999997E-3</v>
      </c>
      <c r="H61">
        <v>2.6258572300000001E-2</v>
      </c>
      <c r="I61">
        <v>6.0847996938</v>
      </c>
      <c r="J61">
        <v>0.84599999999999997</v>
      </c>
      <c r="K61">
        <v>0</v>
      </c>
      <c r="M61" t="s">
        <v>18</v>
      </c>
      <c r="N61">
        <v>-1.1999999999999999E-3</v>
      </c>
      <c r="O61">
        <v>-5.3499999999999997E-3</v>
      </c>
      <c r="P61">
        <v>-4.157951E-3</v>
      </c>
      <c r="Q61">
        <v>4.4530000000000004E-3</v>
      </c>
      <c r="R61">
        <v>4.5659999999999997E-3</v>
      </c>
      <c r="S61">
        <v>2.5522842800000001E-2</v>
      </c>
      <c r="T61">
        <v>3.4871456519000001</v>
      </c>
      <c r="U61">
        <v>0.86099999999999999</v>
      </c>
      <c r="V61">
        <v>0</v>
      </c>
      <c r="X61" t="s">
        <v>18</v>
      </c>
      <c r="AI61" t="s">
        <v>18</v>
      </c>
      <c r="AS61" s="14"/>
    </row>
    <row r="63" spans="1:45" ht="14.45" customHeight="1" x14ac:dyDescent="0.25">
      <c r="A63" s="13" t="s">
        <v>98</v>
      </c>
      <c r="B63" s="1" t="s">
        <v>491</v>
      </c>
      <c r="J63" s="12" t="str">
        <f>INDEX('Method Codes'!$B:$B, MATCH(B63, 'Method Codes'!$I:$I,0))</f>
        <v>IND</v>
      </c>
      <c r="K63" s="12" t="str">
        <f>INDEX('Method Codes'!H:H, MATCH(B63, 'Method Codes'!I:I,0))</f>
        <v>6I</v>
      </c>
      <c r="M63" s="1" t="s">
        <v>550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6I</v>
      </c>
      <c r="X63" s="1" t="s">
        <v>569</v>
      </c>
      <c r="AI63" s="1" t="s">
        <v>570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3.1316899999999999</v>
      </c>
      <c r="E65">
        <v>-3.7013359999999999E-3</v>
      </c>
      <c r="F65">
        <v>0.232991</v>
      </c>
      <c r="G65">
        <v>0.21824299999999999</v>
      </c>
      <c r="H65">
        <v>-6.3297806999999998E-2</v>
      </c>
      <c r="I65">
        <v>-1.1805019999999999E-3</v>
      </c>
      <c r="J65">
        <v>0.93600000000000005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65">
        <v>3.220672</v>
      </c>
      <c r="P65">
        <v>6.6784034699999995E-2</v>
      </c>
      <c r="Q65">
        <v>0.25407299999999999</v>
      </c>
      <c r="R65">
        <v>0.237291</v>
      </c>
      <c r="S65">
        <v>-6.6049548999999999E-2</v>
      </c>
      <c r="T65">
        <v>2.1175143800000001E-2</v>
      </c>
      <c r="U65">
        <v>0.92</v>
      </c>
      <c r="V65">
        <v>1</v>
      </c>
      <c r="X65" t="s">
        <v>12</v>
      </c>
      <c r="AI65" t="s">
        <v>12</v>
      </c>
      <c r="AS65" s="14"/>
    </row>
    <row r="66" spans="1:45" x14ac:dyDescent="0.25">
      <c r="A66" s="14"/>
      <c r="B66" t="s">
        <v>13</v>
      </c>
      <c r="C66">
        <v>-0.44119999999999998</v>
      </c>
      <c r="D66">
        <v>-0.44505099999999997</v>
      </c>
      <c r="E66">
        <v>-3.8449869999999998E-3</v>
      </c>
      <c r="F66">
        <v>8.3735000000000004E-2</v>
      </c>
      <c r="G66">
        <v>8.0729999999999996E-2</v>
      </c>
      <c r="H66">
        <v>-3.5883287E-2</v>
      </c>
      <c r="I66">
        <v>8.7147160000000008E-3</v>
      </c>
      <c r="J66">
        <v>0.93799999999999994</v>
      </c>
      <c r="K66">
        <v>1</v>
      </c>
      <c r="M66" t="s">
        <v>13</v>
      </c>
      <c r="N66">
        <v>-0.434</v>
      </c>
      <c r="O66">
        <v>-0.43180400000000002</v>
      </c>
      <c r="P66">
        <v>2.1563112999999998E-3</v>
      </c>
      <c r="Q66">
        <v>8.9330999999999994E-2</v>
      </c>
      <c r="R66">
        <v>8.5902999999999993E-2</v>
      </c>
      <c r="S66">
        <v>-3.8370394000000002E-2</v>
      </c>
      <c r="T66">
        <v>-4.9689169999999998E-3</v>
      </c>
      <c r="U66">
        <v>0.94299999999999995</v>
      </c>
      <c r="V66">
        <v>1</v>
      </c>
      <c r="X66" t="s">
        <v>13</v>
      </c>
      <c r="AI66" t="s">
        <v>13</v>
      </c>
      <c r="AS66" s="14"/>
    </row>
    <row r="67" spans="1:45" x14ac:dyDescent="0.25">
      <c r="A67" s="14"/>
      <c r="B67" t="s">
        <v>14</v>
      </c>
      <c r="C67">
        <v>-7.3000000000000001E-3</v>
      </c>
      <c r="D67">
        <v>-9.5840000000000005E-3</v>
      </c>
      <c r="E67">
        <v>-2.2697139999999999E-3</v>
      </c>
      <c r="F67">
        <v>4.7562E-2</v>
      </c>
      <c r="G67">
        <v>4.9466000000000003E-2</v>
      </c>
      <c r="H67">
        <v>4.0036334700000002E-2</v>
      </c>
      <c r="I67">
        <v>0.31032592339999998</v>
      </c>
      <c r="J67">
        <v>0.95699999999999996</v>
      </c>
      <c r="K67">
        <v>4.5999999999999999E-2</v>
      </c>
      <c r="M67" t="s">
        <v>14</v>
      </c>
      <c r="N67">
        <v>-7.6E-3</v>
      </c>
      <c r="O67">
        <v>-9.6089999999999995E-3</v>
      </c>
      <c r="P67">
        <v>-1.9909870000000001E-3</v>
      </c>
      <c r="Q67">
        <v>4.9945999999999997E-2</v>
      </c>
      <c r="R67">
        <v>5.1838000000000002E-2</v>
      </c>
      <c r="S67">
        <v>3.7887599199999997E-2</v>
      </c>
      <c r="T67">
        <v>0.2613526088</v>
      </c>
      <c r="U67">
        <v>0.95399999999999996</v>
      </c>
      <c r="V67">
        <v>4.2999999999999997E-2</v>
      </c>
      <c r="X67" t="s">
        <v>14</v>
      </c>
      <c r="AI67" t="s">
        <v>14</v>
      </c>
      <c r="AS67" s="14"/>
    </row>
    <row r="68" spans="1:45" x14ac:dyDescent="0.25">
      <c r="A68" s="14"/>
      <c r="B68" t="s">
        <v>15</v>
      </c>
      <c r="C68">
        <v>-0.45419999999999999</v>
      </c>
      <c r="D68">
        <v>-0.45183899999999999</v>
      </c>
      <c r="E68">
        <v>2.3493969E-3</v>
      </c>
      <c r="F68">
        <v>5.3092E-2</v>
      </c>
      <c r="G68">
        <v>5.1187999999999997E-2</v>
      </c>
      <c r="H68">
        <v>-3.5864363000000003E-2</v>
      </c>
      <c r="I68">
        <v>-5.1727400000000003E-3</v>
      </c>
      <c r="J68">
        <v>0.93899999999999995</v>
      </c>
      <c r="K68">
        <v>1</v>
      </c>
      <c r="M68" t="s">
        <v>15</v>
      </c>
      <c r="N68">
        <v>-0.4551</v>
      </c>
      <c r="O68">
        <v>-0.46601100000000001</v>
      </c>
      <c r="P68">
        <v>-1.0878647999999999E-2</v>
      </c>
      <c r="Q68">
        <v>5.8779999999999999E-2</v>
      </c>
      <c r="R68">
        <v>5.6354000000000001E-2</v>
      </c>
      <c r="S68">
        <v>-4.1274626000000002E-2</v>
      </c>
      <c r="T68">
        <v>2.39021887E-2</v>
      </c>
      <c r="U68">
        <v>0.93400000000000005</v>
      </c>
      <c r="V68">
        <v>1</v>
      </c>
      <c r="X68" t="s">
        <v>15</v>
      </c>
      <c r="AI68" t="s">
        <v>15</v>
      </c>
      <c r="AS68" s="14"/>
    </row>
    <row r="69" spans="1:45" x14ac:dyDescent="0.25">
      <c r="A69" s="14"/>
      <c r="B69" t="s">
        <v>16</v>
      </c>
      <c r="C69">
        <v>-8.2500000000000004E-2</v>
      </c>
      <c r="D69">
        <v>-8.4774000000000002E-2</v>
      </c>
      <c r="E69">
        <v>-2.2318440000000002E-3</v>
      </c>
      <c r="F69">
        <v>6.3813999999999996E-2</v>
      </c>
      <c r="G69">
        <v>6.3322000000000003E-2</v>
      </c>
      <c r="H69">
        <v>-7.712216E-3</v>
      </c>
      <c r="I69">
        <v>2.7038750300000001E-2</v>
      </c>
      <c r="J69">
        <v>0.94799999999999995</v>
      </c>
      <c r="K69">
        <v>0.26700000000000002</v>
      </c>
      <c r="M69" t="s">
        <v>16</v>
      </c>
      <c r="N69">
        <v>-8.0399999999999999E-2</v>
      </c>
      <c r="O69">
        <v>-7.8572000000000003E-2</v>
      </c>
      <c r="P69">
        <v>1.8342882E-3</v>
      </c>
      <c r="Q69">
        <v>6.6327999999999998E-2</v>
      </c>
      <c r="R69">
        <v>6.5844E-2</v>
      </c>
      <c r="S69">
        <v>-7.2882800000000003E-3</v>
      </c>
      <c r="T69">
        <v>-2.2812676E-2</v>
      </c>
      <c r="U69">
        <v>0.95199999999999996</v>
      </c>
      <c r="V69">
        <v>0.218</v>
      </c>
      <c r="X69" t="s">
        <v>16</v>
      </c>
      <c r="AI69" t="s">
        <v>16</v>
      </c>
      <c r="AS69" s="14"/>
    </row>
    <row r="70" spans="1:45" x14ac:dyDescent="0.25">
      <c r="A70" s="14"/>
      <c r="B70" t="s">
        <v>17</v>
      </c>
      <c r="C70">
        <v>-0.12590000000000001</v>
      </c>
      <c r="D70">
        <v>-0.12592600000000001</v>
      </c>
      <c r="E70">
        <v>2.03007E-5</v>
      </c>
      <c r="F70">
        <v>5.9360000000000003E-3</v>
      </c>
      <c r="G70">
        <v>5.9090000000000002E-3</v>
      </c>
      <c r="H70">
        <v>-4.5465050000000002E-3</v>
      </c>
      <c r="I70">
        <v>-1.6118600000000001E-4</v>
      </c>
      <c r="J70">
        <v>0.94799999999999995</v>
      </c>
      <c r="K70">
        <v>1</v>
      </c>
      <c r="M70" t="s">
        <v>17</v>
      </c>
      <c r="N70">
        <v>-0.1255</v>
      </c>
      <c r="O70">
        <v>-0.12610099999999999</v>
      </c>
      <c r="P70">
        <v>-6.3647400000000005E-4</v>
      </c>
      <c r="Q70">
        <v>5.8250000000000003E-3</v>
      </c>
      <c r="R70">
        <v>5.7939999999999997E-3</v>
      </c>
      <c r="S70">
        <v>-5.457539E-3</v>
      </c>
      <c r="T70">
        <v>5.0729288999999999E-3</v>
      </c>
      <c r="U70">
        <v>0.94</v>
      </c>
      <c r="V70">
        <v>1</v>
      </c>
      <c r="X70" t="s">
        <v>17</v>
      </c>
      <c r="AI70" t="s">
        <v>17</v>
      </c>
      <c r="AS70" s="14"/>
    </row>
    <row r="71" spans="1:45" x14ac:dyDescent="0.25">
      <c r="A71" s="14"/>
      <c r="B71" t="s">
        <v>18</v>
      </c>
      <c r="C71">
        <v>-6.9999999999999999E-4</v>
      </c>
      <c r="D71">
        <v>-7.8799999999999996E-4</v>
      </c>
      <c r="E71">
        <v>-8.0094999999999998E-5</v>
      </c>
      <c r="F71">
        <v>3.045E-3</v>
      </c>
      <c r="G71">
        <v>2.9390000000000002E-3</v>
      </c>
      <c r="H71">
        <v>-3.4984674E-2</v>
      </c>
      <c r="I71">
        <v>0.1131747882</v>
      </c>
      <c r="J71">
        <v>0.94099999999999995</v>
      </c>
      <c r="K71">
        <v>6.7000000000000004E-2</v>
      </c>
      <c r="M71" t="s">
        <v>18</v>
      </c>
      <c r="N71">
        <v>-1.1999999999999999E-3</v>
      </c>
      <c r="O71">
        <v>-1.17E-3</v>
      </c>
      <c r="P71">
        <v>2.27404E-5</v>
      </c>
      <c r="Q71">
        <v>3.0760000000000002E-3</v>
      </c>
      <c r="R71">
        <v>2.9840000000000001E-3</v>
      </c>
      <c r="S71">
        <v>-2.9685764999999999E-2</v>
      </c>
      <c r="T71">
        <v>-1.9071673000000001E-2</v>
      </c>
      <c r="U71">
        <v>0.94099999999999995</v>
      </c>
      <c r="V71">
        <v>7.3999999999999996E-2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567" priority="33" stopIfTrue="1" operator="between">
      <formula>0.9365</formula>
      <formula>0.9635</formula>
    </cfRule>
    <cfRule type="cellIs" dxfId="566" priority="34" stopIfTrue="1" operator="between">
      <formula>0</formula>
      <formula>1</formula>
    </cfRule>
    <cfRule type="cellIs" dxfId="565" priority="35" stopIfTrue="1" operator="between">
      <formula>0.8</formula>
      <formula>0.9</formula>
    </cfRule>
    <cfRule type="cellIs" dxfId="564" priority="36" stopIfTrue="1" operator="between">
      <formula>0</formula>
      <formula>0.8</formula>
    </cfRule>
  </conditionalFormatting>
  <conditionalFormatting sqref="J15:J21">
    <cfRule type="cellIs" dxfId="563" priority="25" stopIfTrue="1" operator="between">
      <formula>0.9365</formula>
      <formula>0.9635</formula>
    </cfRule>
    <cfRule type="cellIs" dxfId="562" priority="26" stopIfTrue="1" operator="between">
      <formula>0</formula>
      <formula>1</formula>
    </cfRule>
    <cfRule type="cellIs" dxfId="561" priority="27" stopIfTrue="1" operator="between">
      <formula>0.8</formula>
      <formula>0.9</formula>
    </cfRule>
    <cfRule type="cellIs" dxfId="560" priority="28" stopIfTrue="1" operator="between">
      <formula>0</formula>
      <formula>0.8</formula>
    </cfRule>
  </conditionalFormatting>
  <conditionalFormatting sqref="J25:J31">
    <cfRule type="cellIs" dxfId="559" priority="29" stopIfTrue="1" operator="between">
      <formula>0.95</formula>
      <formula>1</formula>
    </cfRule>
    <cfRule type="cellIs" dxfId="558" priority="30" stopIfTrue="1" operator="between">
      <formula>0.9</formula>
      <formula>0.95</formula>
    </cfRule>
    <cfRule type="cellIs" dxfId="557" priority="31" stopIfTrue="1" operator="between">
      <formula>0.8</formula>
      <formula>0.9</formula>
    </cfRule>
    <cfRule type="cellIs" dxfId="556" priority="32" stopIfTrue="1" operator="between">
      <formula>0</formula>
      <formula>0.8</formula>
    </cfRule>
  </conditionalFormatting>
  <conditionalFormatting sqref="J35:J41">
    <cfRule type="cellIs" dxfId="555" priority="21" stopIfTrue="1" operator="between">
      <formula>0.9365</formula>
      <formula>0.9635</formula>
    </cfRule>
    <cfRule type="cellIs" dxfId="554" priority="22" stopIfTrue="1" operator="between">
      <formula>0</formula>
      <formula>1</formula>
    </cfRule>
    <cfRule type="cellIs" dxfId="553" priority="23" stopIfTrue="1" operator="between">
      <formula>0.8</formula>
      <formula>0.9</formula>
    </cfRule>
    <cfRule type="cellIs" dxfId="552" priority="24" stopIfTrue="1" operator="between">
      <formula>0</formula>
      <formula>0.8</formula>
    </cfRule>
  </conditionalFormatting>
  <conditionalFormatting sqref="J45:J51">
    <cfRule type="cellIs" dxfId="551" priority="19" stopIfTrue="1" operator="between">
      <formula>0.8</formula>
      <formula>0.9</formula>
    </cfRule>
    <cfRule type="cellIs" dxfId="550" priority="17" stopIfTrue="1" operator="between">
      <formula>0.9365</formula>
      <formula>0.9635</formula>
    </cfRule>
    <cfRule type="cellIs" dxfId="549" priority="18" stopIfTrue="1" operator="between">
      <formula>0</formula>
      <formula>1</formula>
    </cfRule>
    <cfRule type="cellIs" dxfId="548" priority="20" stopIfTrue="1" operator="between">
      <formula>0</formula>
      <formula>0.8</formula>
    </cfRule>
  </conditionalFormatting>
  <conditionalFormatting sqref="J55:J61">
    <cfRule type="cellIs" dxfId="547" priority="13" stopIfTrue="1" operator="between">
      <formula>0.9365</formula>
      <formula>0.9635</formula>
    </cfRule>
    <cfRule type="cellIs" dxfId="546" priority="14" stopIfTrue="1" operator="between">
      <formula>0</formula>
      <formula>1</formula>
    </cfRule>
    <cfRule type="cellIs" dxfId="545" priority="15" stopIfTrue="1" operator="between">
      <formula>0.8</formula>
      <formula>0.9</formula>
    </cfRule>
    <cfRule type="cellIs" dxfId="544" priority="16" stopIfTrue="1" operator="between">
      <formula>0</formula>
      <formula>0.8</formula>
    </cfRule>
  </conditionalFormatting>
  <conditionalFormatting sqref="J65:J71">
    <cfRule type="cellIs" dxfId="543" priority="9" stopIfTrue="1" operator="between">
      <formula>0.9365</formula>
      <formula>0.9635</formula>
    </cfRule>
    <cfRule type="cellIs" dxfId="542" priority="11" stopIfTrue="1" operator="between">
      <formula>0.8</formula>
      <formula>0.9</formula>
    </cfRule>
    <cfRule type="cellIs" dxfId="541" priority="12" stopIfTrue="1" operator="between">
      <formula>0</formula>
      <formula>0.8</formula>
    </cfRule>
    <cfRule type="cellIs" dxfId="540" priority="10" stopIfTrue="1" operator="between">
      <formula>0</formula>
      <formula>1</formula>
    </cfRule>
  </conditionalFormatting>
  <conditionalFormatting sqref="U5:U11">
    <cfRule type="cellIs" dxfId="539" priority="56" stopIfTrue="1" operator="between">
      <formula>0</formula>
      <formula>0.8</formula>
    </cfRule>
    <cfRule type="cellIs" dxfId="538" priority="55" stopIfTrue="1" operator="between">
      <formula>0.8</formula>
      <formula>0.9</formula>
    </cfRule>
    <cfRule type="cellIs" dxfId="537" priority="54" stopIfTrue="1" operator="between">
      <formula>0</formula>
      <formula>1</formula>
    </cfRule>
    <cfRule type="cellIs" dxfId="536" priority="53" stopIfTrue="1" operator="between">
      <formula>0.9365</formula>
      <formula>0.9635</formula>
    </cfRule>
  </conditionalFormatting>
  <conditionalFormatting sqref="U15:U21">
    <cfRule type="cellIs" dxfId="535" priority="46" stopIfTrue="1" operator="between">
      <formula>0</formula>
      <formula>1</formula>
    </cfRule>
    <cfRule type="cellIs" dxfId="534" priority="45" stopIfTrue="1" operator="between">
      <formula>0.9365</formula>
      <formula>0.9635</formula>
    </cfRule>
    <cfRule type="cellIs" dxfId="533" priority="47" stopIfTrue="1" operator="between">
      <formula>0.8</formula>
      <formula>0.9</formula>
    </cfRule>
    <cfRule type="cellIs" dxfId="532" priority="48" stopIfTrue="1" operator="between">
      <formula>0</formula>
      <formula>0.8</formula>
    </cfRule>
  </conditionalFormatting>
  <conditionalFormatting sqref="U25:U31">
    <cfRule type="cellIs" dxfId="531" priority="49" stopIfTrue="1" operator="between">
      <formula>0.95</formula>
      <formula>1</formula>
    </cfRule>
    <cfRule type="cellIs" dxfId="530" priority="50" stopIfTrue="1" operator="between">
      <formula>0.9</formula>
      <formula>0.95</formula>
    </cfRule>
    <cfRule type="cellIs" dxfId="529" priority="51" stopIfTrue="1" operator="between">
      <formula>0.8</formula>
      <formula>0.9</formula>
    </cfRule>
    <cfRule type="cellIs" dxfId="528" priority="52" stopIfTrue="1" operator="between">
      <formula>0</formula>
      <formula>0.8</formula>
    </cfRule>
  </conditionalFormatting>
  <conditionalFormatting sqref="U35:U41">
    <cfRule type="cellIs" dxfId="527" priority="41" stopIfTrue="1" operator="between">
      <formula>0.9365</formula>
      <formula>0.9635</formula>
    </cfRule>
    <cfRule type="cellIs" dxfId="526" priority="42" stopIfTrue="1" operator="between">
      <formula>0</formula>
      <formula>1</formula>
    </cfRule>
    <cfRule type="cellIs" dxfId="525" priority="43" stopIfTrue="1" operator="between">
      <formula>0.8</formula>
      <formula>0.9</formula>
    </cfRule>
    <cfRule type="cellIs" dxfId="524" priority="44" stopIfTrue="1" operator="between">
      <formula>0</formula>
      <formula>0.8</formula>
    </cfRule>
  </conditionalFormatting>
  <conditionalFormatting sqref="U45:U51">
    <cfRule type="cellIs" dxfId="523" priority="38" stopIfTrue="1" operator="between">
      <formula>0</formula>
      <formula>1</formula>
    </cfRule>
    <cfRule type="cellIs" dxfId="522" priority="37" stopIfTrue="1" operator="between">
      <formula>0.9365</formula>
      <formula>0.9635</formula>
    </cfRule>
    <cfRule type="cellIs" dxfId="521" priority="39" stopIfTrue="1" operator="between">
      <formula>0.8</formula>
      <formula>0.9</formula>
    </cfRule>
    <cfRule type="cellIs" dxfId="520" priority="40" stopIfTrue="1" operator="between">
      <formula>0</formula>
      <formula>0.8</formula>
    </cfRule>
  </conditionalFormatting>
  <conditionalFormatting sqref="U55:U61">
    <cfRule type="cellIs" dxfId="519" priority="2" stopIfTrue="1" operator="between">
      <formula>0</formula>
      <formula>1</formula>
    </cfRule>
    <cfRule type="cellIs" dxfId="518" priority="3" stopIfTrue="1" operator="between">
      <formula>0.8</formula>
      <formula>0.9</formula>
    </cfRule>
    <cfRule type="cellIs" dxfId="517" priority="4" stopIfTrue="1" operator="between">
      <formula>0</formula>
      <formula>0.8</formula>
    </cfRule>
    <cfRule type="cellIs" dxfId="516" priority="1" stopIfTrue="1" operator="between">
      <formula>0.9365</formula>
      <formula>0.9635</formula>
    </cfRule>
  </conditionalFormatting>
  <conditionalFormatting sqref="U65:U71">
    <cfRule type="cellIs" dxfId="515" priority="5" stopIfTrue="1" operator="between">
      <formula>0.9365</formula>
      <formula>0.9635</formula>
    </cfRule>
    <cfRule type="cellIs" dxfId="514" priority="8" stopIfTrue="1" operator="between">
      <formula>0</formula>
      <formula>0.8</formula>
    </cfRule>
    <cfRule type="cellIs" dxfId="513" priority="7" stopIfTrue="1" operator="between">
      <formula>0.8</formula>
      <formula>0.9</formula>
    </cfRule>
    <cfRule type="cellIs" dxfId="512" priority="6" stopIfTrue="1" operator="between">
      <formula>0</formula>
      <formula>1</formula>
    </cfRule>
  </conditionalFormatting>
  <conditionalFormatting sqref="AF5:AF11">
    <cfRule type="cellIs" dxfId="511" priority="221" stopIfTrue="1" operator="between">
      <formula>0.9365</formula>
      <formula>0.9635</formula>
    </cfRule>
    <cfRule type="cellIs" dxfId="510" priority="222" stopIfTrue="1" operator="between">
      <formula>0.9095</formula>
      <formula>0.9905</formula>
    </cfRule>
    <cfRule type="cellIs" dxfId="509" priority="223" stopIfTrue="1" operator="between">
      <formula>0</formula>
      <formula>1</formula>
    </cfRule>
    <cfRule type="cellIs" dxfId="508" priority="224" stopIfTrue="1" operator="between">
      <formula>0</formula>
      <formula>0.8</formula>
    </cfRule>
  </conditionalFormatting>
  <conditionalFormatting sqref="AF15:AF21">
    <cfRule type="cellIs" dxfId="507" priority="225" stopIfTrue="1" operator="between">
      <formula>0.9365</formula>
      <formula>0.9635</formula>
    </cfRule>
    <cfRule type="cellIs" dxfId="506" priority="226" stopIfTrue="1" operator="between">
      <formula>0.9095</formula>
      <formula>0.9905</formula>
    </cfRule>
    <cfRule type="cellIs" dxfId="505" priority="227" stopIfTrue="1" operator="between">
      <formula>0</formula>
      <formula>1</formula>
    </cfRule>
    <cfRule type="cellIs" dxfId="504" priority="228" stopIfTrue="1" operator="between">
      <formula>0</formula>
      <formula>0.8</formula>
    </cfRule>
  </conditionalFormatting>
  <conditionalFormatting sqref="AF25:AF31">
    <cfRule type="cellIs" dxfId="503" priority="300" stopIfTrue="1" operator="between">
      <formula>0</formula>
      <formula>0.8</formula>
    </cfRule>
    <cfRule type="cellIs" dxfId="502" priority="297" stopIfTrue="1" operator="between">
      <formula>0.95</formula>
      <formula>1</formula>
    </cfRule>
    <cfRule type="cellIs" dxfId="501" priority="298" stopIfTrue="1" operator="between">
      <formula>0.9</formula>
      <formula>0.95</formula>
    </cfRule>
    <cfRule type="cellIs" dxfId="500" priority="299" stopIfTrue="1" operator="between">
      <formula>0.8</formula>
      <formula>0.9</formula>
    </cfRule>
  </conditionalFormatting>
  <conditionalFormatting sqref="AF35:AF41">
    <cfRule type="cellIs" dxfId="499" priority="229" stopIfTrue="1" operator="between">
      <formula>0.9365</formula>
      <formula>0.9635</formula>
    </cfRule>
    <cfRule type="cellIs" dxfId="498" priority="230" stopIfTrue="1" operator="between">
      <formula>0.9095</formula>
      <formula>0.9905</formula>
    </cfRule>
    <cfRule type="cellIs" dxfId="497" priority="231" stopIfTrue="1" operator="between">
      <formula>0</formula>
      <formula>1</formula>
    </cfRule>
    <cfRule type="cellIs" dxfId="496" priority="232" stopIfTrue="1" operator="between">
      <formula>0</formula>
      <formula>0.8</formula>
    </cfRule>
  </conditionalFormatting>
  <conditionalFormatting sqref="AF45:AF51">
    <cfRule type="cellIs" dxfId="495" priority="236" stopIfTrue="1" operator="between">
      <formula>0</formula>
      <formula>0.8</formula>
    </cfRule>
    <cfRule type="cellIs" dxfId="494" priority="234" stopIfTrue="1" operator="between">
      <formula>0.9095</formula>
      <formula>0.9905</formula>
    </cfRule>
    <cfRule type="cellIs" dxfId="493" priority="233" stopIfTrue="1" operator="between">
      <formula>0.9365</formula>
      <formula>0.9635</formula>
    </cfRule>
    <cfRule type="cellIs" dxfId="492" priority="235" stopIfTrue="1" operator="between">
      <formula>0</formula>
      <formula>1</formula>
    </cfRule>
  </conditionalFormatting>
  <conditionalFormatting sqref="AF55:AF61">
    <cfRule type="cellIs" dxfId="491" priority="249" stopIfTrue="1" operator="between">
      <formula>0.9365</formula>
      <formula>0.9635</formula>
    </cfRule>
    <cfRule type="cellIs" dxfId="490" priority="250" stopIfTrue="1" operator="between">
      <formula>0.9095</formula>
      <formula>0.9905</formula>
    </cfRule>
    <cfRule type="cellIs" dxfId="489" priority="251" stopIfTrue="1" operator="between">
      <formula>0</formula>
      <formula>1</formula>
    </cfRule>
    <cfRule type="cellIs" dxfId="488" priority="252" stopIfTrue="1" operator="between">
      <formula>0</formula>
      <formula>0.8</formula>
    </cfRule>
  </conditionalFormatting>
  <conditionalFormatting sqref="AF65:AF71">
    <cfRule type="cellIs" dxfId="487" priority="246" stopIfTrue="1" operator="between">
      <formula>0.9095</formula>
      <formula>0.9905</formula>
    </cfRule>
    <cfRule type="cellIs" dxfId="486" priority="245" stopIfTrue="1" operator="between">
      <formula>0.9365</formula>
      <formula>0.9635</formula>
    </cfRule>
    <cfRule type="cellIs" dxfId="485" priority="247" stopIfTrue="1" operator="between">
      <formula>0</formula>
      <formula>1</formula>
    </cfRule>
    <cfRule type="cellIs" dxfId="484" priority="248" stopIfTrue="1" operator="between">
      <formula>0</formula>
      <formula>0.8</formula>
    </cfRule>
  </conditionalFormatting>
  <conditionalFormatting sqref="AQ5:AQ11">
    <cfRule type="cellIs" dxfId="483" priority="177" stopIfTrue="1" operator="between">
      <formula>0.9365</formula>
      <formula>0.9635</formula>
    </cfRule>
    <cfRule type="cellIs" dxfId="482" priority="178" stopIfTrue="1" operator="between">
      <formula>0.9095</formula>
      <formula>0.9905</formula>
    </cfRule>
    <cfRule type="cellIs" dxfId="481" priority="179" stopIfTrue="1" operator="between">
      <formula>0</formula>
      <formula>1</formula>
    </cfRule>
    <cfRule type="cellIs" dxfId="480" priority="180" stopIfTrue="1" operator="between">
      <formula>0</formula>
      <formula>0.8</formula>
    </cfRule>
  </conditionalFormatting>
  <conditionalFormatting sqref="AQ15:AQ21">
    <cfRule type="cellIs" dxfId="479" priority="181" stopIfTrue="1" operator="between">
      <formula>0.9365</formula>
      <formula>0.9635</formula>
    </cfRule>
    <cfRule type="cellIs" dxfId="478" priority="182" stopIfTrue="1" operator="between">
      <formula>0.9095</formula>
      <formula>0.9905</formula>
    </cfRule>
    <cfRule type="cellIs" dxfId="477" priority="183" stopIfTrue="1" operator="between">
      <formula>0</formula>
      <formula>1</formula>
    </cfRule>
    <cfRule type="cellIs" dxfId="476" priority="184" stopIfTrue="1" operator="between">
      <formula>0</formula>
      <formula>0.8</formula>
    </cfRule>
  </conditionalFormatting>
  <conditionalFormatting sqref="AQ25:AQ31">
    <cfRule type="cellIs" dxfId="475" priority="204" stopIfTrue="1" operator="between">
      <formula>0</formula>
      <formula>0.8</formula>
    </cfRule>
    <cfRule type="cellIs" dxfId="474" priority="201" stopIfTrue="1" operator="between">
      <formula>0.95</formula>
      <formula>1</formula>
    </cfRule>
    <cfRule type="cellIs" dxfId="473" priority="202" stopIfTrue="1" operator="between">
      <formula>0.9</formula>
      <formula>0.95</formula>
    </cfRule>
    <cfRule type="cellIs" dxfId="472" priority="203" stopIfTrue="1" operator="between">
      <formula>0.8</formula>
      <formula>0.9</formula>
    </cfRule>
  </conditionalFormatting>
  <conditionalFormatting sqref="AQ35:AQ41">
    <cfRule type="cellIs" dxfId="471" priority="185" stopIfTrue="1" operator="between">
      <formula>0.9365</formula>
      <formula>0.9635</formula>
    </cfRule>
    <cfRule type="cellIs" dxfId="470" priority="186" stopIfTrue="1" operator="between">
      <formula>0.9095</formula>
      <formula>0.9905</formula>
    </cfRule>
    <cfRule type="cellIs" dxfId="469" priority="187" stopIfTrue="1" operator="between">
      <formula>0</formula>
      <formula>1</formula>
    </cfRule>
    <cfRule type="cellIs" dxfId="468" priority="188" stopIfTrue="1" operator="between">
      <formula>0</formula>
      <formula>0.8</formula>
    </cfRule>
  </conditionalFormatting>
  <conditionalFormatting sqref="AQ45:AQ51">
    <cfRule type="cellIs" dxfId="467" priority="191" stopIfTrue="1" operator="between">
      <formula>0</formula>
      <formula>1</formula>
    </cfRule>
    <cfRule type="cellIs" dxfId="466" priority="192" stopIfTrue="1" operator="between">
      <formula>0</formula>
      <formula>0.8</formula>
    </cfRule>
    <cfRule type="cellIs" dxfId="465" priority="189" stopIfTrue="1" operator="between">
      <formula>0.9365</formula>
      <formula>0.9635</formula>
    </cfRule>
    <cfRule type="cellIs" dxfId="464" priority="190" stopIfTrue="1" operator="between">
      <formula>0.9095</formula>
      <formula>0.9905</formula>
    </cfRule>
  </conditionalFormatting>
  <conditionalFormatting sqref="AQ55:AQ61">
    <cfRule type="cellIs" dxfId="463" priority="199" stopIfTrue="1" operator="between">
      <formula>0</formula>
      <formula>1</formula>
    </cfRule>
    <cfRule type="cellIs" dxfId="462" priority="198" stopIfTrue="1" operator="between">
      <formula>0.9095</formula>
      <formula>0.9905</formula>
    </cfRule>
    <cfRule type="cellIs" dxfId="461" priority="200" stopIfTrue="1" operator="between">
      <formula>0</formula>
      <formula>0.8</formula>
    </cfRule>
    <cfRule type="cellIs" dxfId="460" priority="197" stopIfTrue="1" operator="between">
      <formula>0.9365</formula>
      <formula>0.9635</formula>
    </cfRule>
  </conditionalFormatting>
  <conditionalFormatting sqref="AQ65:AQ71">
    <cfRule type="cellIs" dxfId="459" priority="193" stopIfTrue="1" operator="between">
      <formula>0.9365</formula>
      <formula>0.9635</formula>
    </cfRule>
    <cfRule type="cellIs" dxfId="458" priority="194" stopIfTrue="1" operator="between">
      <formula>0.9095</formula>
      <formula>0.9905</formula>
    </cfRule>
    <cfRule type="cellIs" dxfId="457" priority="195" stopIfTrue="1" operator="between">
      <formula>0</formula>
      <formula>1</formula>
    </cfRule>
    <cfRule type="cellIs" dxfId="456" priority="196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A166-61DC-4654-AB88-9E6E88A3DAC8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28" width="0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439</v>
      </c>
      <c r="J3" s="12" t="str">
        <f>INDEX('Method Codes'!$B:$B, MATCH(B3, 'Method Codes'!$I:$I,0))</f>
        <v>IND</v>
      </c>
      <c r="K3" s="12" t="str">
        <f>INDEX('Method Codes'!$H:$H, MATCH(B3, 'Method Codes'!$I:$I,0))</f>
        <v>1G</v>
      </c>
      <c r="M3" s="1" t="s">
        <v>505</v>
      </c>
      <c r="U3" s="12" t="str">
        <f>INDEX('Method Codes'!$B:$B, MATCH(M3, 'Method Codes'!$I:$I,0))</f>
        <v>EXCH</v>
      </c>
      <c r="V3" s="12" t="str">
        <f>INDEX('Method Codes'!$H:$H, MATCH(M3, 'Method Codes'!$I:$I,0))</f>
        <v>1G</v>
      </c>
      <c r="X3" s="1" t="s">
        <v>571</v>
      </c>
      <c r="AI3" s="1" t="s">
        <v>572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3.1243979999999998</v>
      </c>
      <c r="E5">
        <v>-1.0992616E-2</v>
      </c>
      <c r="F5">
        <v>0.17738799999999999</v>
      </c>
      <c r="G5">
        <v>0.17388799999999999</v>
      </c>
      <c r="H5">
        <v>-1.9728599999999999E-2</v>
      </c>
      <c r="I5">
        <v>-3.5059790000000002E-3</v>
      </c>
      <c r="J5">
        <v>0.94899999999999995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">
        <v>3.1519849999999998</v>
      </c>
      <c r="P5">
        <v>-1.903423E-3</v>
      </c>
      <c r="Q5">
        <v>0.17815900000000001</v>
      </c>
      <c r="R5">
        <v>0.17546600000000001</v>
      </c>
      <c r="S5">
        <v>-1.5116427E-2</v>
      </c>
      <c r="T5">
        <v>-6.0351600000000001E-4</v>
      </c>
      <c r="U5">
        <v>0.94199999999999995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25">
      <c r="A6" s="14"/>
      <c r="B6" t="s">
        <v>13</v>
      </c>
      <c r="C6">
        <v>-0.44119999999999998</v>
      </c>
      <c r="D6">
        <v>-0.462426</v>
      </c>
      <c r="E6">
        <v>-2.1219267E-2</v>
      </c>
      <c r="F6">
        <v>6.6830000000000001E-2</v>
      </c>
      <c r="G6">
        <v>6.5257999999999997E-2</v>
      </c>
      <c r="H6">
        <v>-2.3523168000000001E-2</v>
      </c>
      <c r="I6">
        <v>4.8093756100000003E-2</v>
      </c>
      <c r="J6">
        <v>0.92700000000000005</v>
      </c>
      <c r="K6">
        <v>0</v>
      </c>
      <c r="M6" t="s">
        <v>13</v>
      </c>
      <c r="N6">
        <v>-0.434</v>
      </c>
      <c r="O6">
        <v>-0.45216899999999999</v>
      </c>
      <c r="P6">
        <v>-1.8208641000000001E-2</v>
      </c>
      <c r="Q6">
        <v>6.7150000000000001E-2</v>
      </c>
      <c r="R6">
        <v>6.6006999999999996E-2</v>
      </c>
      <c r="S6">
        <v>-1.7015290999999998E-2</v>
      </c>
      <c r="T6">
        <v>4.1959257299999997E-2</v>
      </c>
      <c r="U6">
        <v>0.93400000000000005</v>
      </c>
      <c r="V6">
        <v>0</v>
      </c>
      <c r="X6" t="s">
        <v>13</v>
      </c>
      <c r="AI6" t="s">
        <v>13</v>
      </c>
      <c r="AS6" s="14"/>
    </row>
    <row r="7" spans="1:47" x14ac:dyDescent="0.25">
      <c r="A7" s="14"/>
      <c r="B7" t="s">
        <v>14</v>
      </c>
      <c r="C7">
        <v>-7.3000000000000001E-3</v>
      </c>
      <c r="D7">
        <v>-8.5939999999999992E-3</v>
      </c>
      <c r="E7">
        <v>-1.280011E-3</v>
      </c>
      <c r="F7">
        <v>3.5837000000000001E-2</v>
      </c>
      <c r="G7">
        <v>3.9100999999999997E-2</v>
      </c>
      <c r="H7">
        <v>9.1064713399999997E-2</v>
      </c>
      <c r="I7">
        <v>0.1750090674</v>
      </c>
      <c r="J7">
        <v>0.97399999999999998</v>
      </c>
      <c r="K7">
        <v>0</v>
      </c>
      <c r="M7" t="s">
        <v>14</v>
      </c>
      <c r="N7">
        <v>-7.6E-3</v>
      </c>
      <c r="O7">
        <v>-8.3079999999999994E-3</v>
      </c>
      <c r="P7">
        <v>-6.8999000000000003E-4</v>
      </c>
      <c r="Q7">
        <v>3.6174999999999999E-2</v>
      </c>
      <c r="R7">
        <v>3.9641000000000003E-2</v>
      </c>
      <c r="S7">
        <v>9.5816253099999998E-2</v>
      </c>
      <c r="T7">
        <v>9.05735176E-2</v>
      </c>
      <c r="U7">
        <v>0.97299999999999998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25">
      <c r="A8" s="14"/>
      <c r="B8" t="s">
        <v>15</v>
      </c>
      <c r="C8">
        <v>-0.45419999999999999</v>
      </c>
      <c r="D8">
        <v>-0.44975100000000001</v>
      </c>
      <c r="E8">
        <v>4.4373403999999998E-3</v>
      </c>
      <c r="F8">
        <v>4.2983E-2</v>
      </c>
      <c r="G8">
        <v>4.1779999999999998E-2</v>
      </c>
      <c r="H8">
        <v>-2.7984723E-2</v>
      </c>
      <c r="I8">
        <v>-9.7698309999999997E-3</v>
      </c>
      <c r="J8">
        <v>0.93400000000000005</v>
      </c>
      <c r="K8">
        <v>0</v>
      </c>
      <c r="M8" t="s">
        <v>15</v>
      </c>
      <c r="N8">
        <v>-0.4551</v>
      </c>
      <c r="O8">
        <v>-0.45318900000000001</v>
      </c>
      <c r="P8">
        <v>1.9425695000000001E-3</v>
      </c>
      <c r="Q8">
        <v>4.3359000000000002E-2</v>
      </c>
      <c r="R8">
        <v>4.2437999999999997E-2</v>
      </c>
      <c r="S8">
        <v>-2.1236488000000001E-2</v>
      </c>
      <c r="T8">
        <v>-4.2681459999999996E-3</v>
      </c>
      <c r="U8">
        <v>0.93500000000000005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25">
      <c r="A9" s="14"/>
      <c r="B9" t="s">
        <v>16</v>
      </c>
      <c r="C9">
        <v>-8.2500000000000004E-2</v>
      </c>
      <c r="D9">
        <v>-8.6106000000000002E-2</v>
      </c>
      <c r="E9">
        <v>-3.5633349999999999E-3</v>
      </c>
      <c r="F9">
        <v>4.7548E-2</v>
      </c>
      <c r="G9">
        <v>4.9452000000000003E-2</v>
      </c>
      <c r="H9">
        <v>4.0053671700000001E-2</v>
      </c>
      <c r="I9">
        <v>4.3169751100000001E-2</v>
      </c>
      <c r="J9">
        <v>0.96</v>
      </c>
      <c r="K9">
        <v>0</v>
      </c>
      <c r="M9" t="s">
        <v>16</v>
      </c>
      <c r="N9">
        <v>-8.0399999999999999E-2</v>
      </c>
      <c r="O9">
        <v>-8.1784999999999997E-2</v>
      </c>
      <c r="P9">
        <v>-1.378343E-3</v>
      </c>
      <c r="Q9">
        <v>4.7677999999999998E-2</v>
      </c>
      <c r="R9">
        <v>5.0122E-2</v>
      </c>
      <c r="S9">
        <v>5.1257070100000003E-2</v>
      </c>
      <c r="T9">
        <v>1.7142173600000001E-2</v>
      </c>
      <c r="U9">
        <v>0.95499999999999996</v>
      </c>
      <c r="V9">
        <v>0</v>
      </c>
      <c r="X9" t="s">
        <v>16</v>
      </c>
      <c r="AI9" t="s">
        <v>16</v>
      </c>
      <c r="AS9" s="14"/>
    </row>
    <row r="10" spans="1:47" x14ac:dyDescent="0.25">
      <c r="A10" s="14"/>
      <c r="B10" t="s">
        <v>17</v>
      </c>
      <c r="C10">
        <v>-0.12590000000000001</v>
      </c>
      <c r="D10">
        <v>-0.12446699999999999</v>
      </c>
      <c r="E10">
        <v>1.4788226000000001E-3</v>
      </c>
      <c r="F10">
        <v>4.1190000000000003E-3</v>
      </c>
      <c r="G10">
        <v>4.2079999999999999E-3</v>
      </c>
      <c r="H10">
        <v>2.1676838399999999E-2</v>
      </c>
      <c r="I10">
        <v>-1.1741692999999999E-2</v>
      </c>
      <c r="J10">
        <v>0.94299999999999995</v>
      </c>
      <c r="K10">
        <v>0</v>
      </c>
      <c r="M10" t="s">
        <v>17</v>
      </c>
      <c r="N10">
        <v>-0.1255</v>
      </c>
      <c r="O10">
        <v>-0.12396699999999999</v>
      </c>
      <c r="P10">
        <v>1.4972612E-3</v>
      </c>
      <c r="Q10">
        <v>4.1229999999999999E-3</v>
      </c>
      <c r="R10">
        <v>4.2009999999999999E-3</v>
      </c>
      <c r="S10">
        <v>1.8986840800000002E-2</v>
      </c>
      <c r="T10">
        <v>-1.1933719000000001E-2</v>
      </c>
      <c r="U10">
        <v>0.94</v>
      </c>
      <c r="V10">
        <v>0</v>
      </c>
      <c r="X10" t="s">
        <v>17</v>
      </c>
      <c r="AI10" t="s">
        <v>17</v>
      </c>
      <c r="AS10" s="14"/>
    </row>
    <row r="11" spans="1:47" x14ac:dyDescent="0.25">
      <c r="A11" s="14"/>
      <c r="B11" t="s">
        <v>18</v>
      </c>
      <c r="C11">
        <v>-6.9999999999999999E-4</v>
      </c>
      <c r="D11">
        <v>-8.5999999999999998E-4</v>
      </c>
      <c r="E11">
        <v>-1.5264599999999999E-4</v>
      </c>
      <c r="F11">
        <v>2.0720000000000001E-3</v>
      </c>
      <c r="G11">
        <v>2.1919999999999999E-3</v>
      </c>
      <c r="H11">
        <v>5.8080011399999999E-2</v>
      </c>
      <c r="I11">
        <v>0.21568931860000001</v>
      </c>
      <c r="J11">
        <v>0.96399999999999997</v>
      </c>
      <c r="K11">
        <v>0</v>
      </c>
      <c r="M11" t="s">
        <v>18</v>
      </c>
      <c r="N11">
        <v>-1.1999999999999999E-3</v>
      </c>
      <c r="O11">
        <v>-1.3630000000000001E-3</v>
      </c>
      <c r="P11">
        <v>-1.70967E-4</v>
      </c>
      <c r="Q11">
        <v>2.0100000000000001E-3</v>
      </c>
      <c r="R11">
        <v>2.1589999999999999E-3</v>
      </c>
      <c r="S11">
        <v>7.4206943100000006E-2</v>
      </c>
      <c r="T11">
        <v>0.1433847684</v>
      </c>
      <c r="U11">
        <v>0.96799999999999997</v>
      </c>
      <c r="V11">
        <v>0</v>
      </c>
      <c r="X11" t="s">
        <v>18</v>
      </c>
      <c r="AI11" t="s">
        <v>18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453</v>
      </c>
      <c r="J13" s="12" t="str">
        <f>INDEX('Method Codes'!$B:$B, MATCH(B13, 'Method Codes'!$I:$I,0))</f>
        <v>IND</v>
      </c>
      <c r="K13" s="12" t="str">
        <f>INDEX('Method Codes'!H:H, MATCH(B13, 'Method Codes'!I:I,0))</f>
        <v>2M</v>
      </c>
      <c r="M13" s="1" t="s">
        <v>516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2M</v>
      </c>
      <c r="X13" s="1" t="s">
        <v>573</v>
      </c>
      <c r="AI13" s="1" t="s">
        <v>574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15">
        <v>3.0130170000000001</v>
      </c>
      <c r="P15">
        <v>-0.14087112800000001</v>
      </c>
      <c r="Q15">
        <v>0.17347899999999999</v>
      </c>
      <c r="R15">
        <v>0.16761100000000001</v>
      </c>
      <c r="S15">
        <v>-3.3829123000000003E-2</v>
      </c>
      <c r="T15">
        <v>-4.4665861000000001E-2</v>
      </c>
      <c r="U15">
        <v>0.86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25">
      <c r="A16" s="14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-0.434</v>
      </c>
      <c r="O16">
        <v>-0.44242399999999998</v>
      </c>
      <c r="P16">
        <v>-8.4644300000000002E-3</v>
      </c>
      <c r="Q16">
        <v>6.8055000000000004E-2</v>
      </c>
      <c r="R16">
        <v>6.4460000000000003E-2</v>
      </c>
      <c r="S16">
        <v>-5.2824844000000003E-2</v>
      </c>
      <c r="T16">
        <v>1.9505092200000001E-2</v>
      </c>
      <c r="U16">
        <v>0.93300000000000005</v>
      </c>
      <c r="V16">
        <v>1</v>
      </c>
      <c r="X16" t="s">
        <v>13</v>
      </c>
      <c r="AI16" t="s">
        <v>13</v>
      </c>
      <c r="AS16" s="14"/>
    </row>
    <row r="17" spans="1:47" x14ac:dyDescent="0.25">
      <c r="A17" s="14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-7.6E-3</v>
      </c>
      <c r="O17">
        <v>-7.7499999999999997E-4</v>
      </c>
      <c r="P17">
        <v>6.8426551E-3</v>
      </c>
      <c r="Q17">
        <v>3.8975999999999997E-2</v>
      </c>
      <c r="R17">
        <v>3.9465E-2</v>
      </c>
      <c r="S17">
        <v>1.2538955900000001E-2</v>
      </c>
      <c r="T17">
        <v>-0.89822068700000002</v>
      </c>
      <c r="U17">
        <v>0.94699999999999995</v>
      </c>
      <c r="V17">
        <v>5.1999999999999998E-2</v>
      </c>
      <c r="X17" t="s">
        <v>14</v>
      </c>
      <c r="AI17" t="s">
        <v>14</v>
      </c>
      <c r="AS17" s="14"/>
    </row>
    <row r="18" spans="1:47" x14ac:dyDescent="0.25">
      <c r="A18" s="14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</v>
      </c>
      <c r="O18">
        <v>-0.419711</v>
      </c>
      <c r="P18">
        <v>3.54212338E-2</v>
      </c>
      <c r="Q18">
        <v>4.1785999999999997E-2</v>
      </c>
      <c r="R18">
        <v>4.0502000000000003E-2</v>
      </c>
      <c r="S18">
        <v>-3.0738550999999999E-2</v>
      </c>
      <c r="T18">
        <v>-7.7826305999999998E-2</v>
      </c>
      <c r="U18">
        <v>0.85</v>
      </c>
      <c r="V18">
        <v>1</v>
      </c>
      <c r="X18" t="s">
        <v>15</v>
      </c>
      <c r="AI18" t="s">
        <v>15</v>
      </c>
      <c r="AS18" s="14"/>
    </row>
    <row r="19" spans="1:47" x14ac:dyDescent="0.25">
      <c r="A19" s="14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-8.0399999999999999E-2</v>
      </c>
      <c r="O19">
        <v>-0.10921400000000001</v>
      </c>
      <c r="P19">
        <v>-2.8807356999999999E-2</v>
      </c>
      <c r="Q19">
        <v>5.0182999999999998E-2</v>
      </c>
      <c r="R19">
        <v>4.9716000000000003E-2</v>
      </c>
      <c r="S19">
        <v>-9.3225449999999998E-3</v>
      </c>
      <c r="T19">
        <v>0.35827134150000001</v>
      </c>
      <c r="U19">
        <v>0.90600000000000003</v>
      </c>
      <c r="V19">
        <v>0.61</v>
      </c>
      <c r="X19" t="s">
        <v>16</v>
      </c>
      <c r="AI19" t="s">
        <v>16</v>
      </c>
      <c r="AS19" s="14"/>
    </row>
    <row r="20" spans="1:47" x14ac:dyDescent="0.25">
      <c r="A20" s="14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-0.1255</v>
      </c>
      <c r="O20">
        <v>-0.120508</v>
      </c>
      <c r="P20">
        <v>4.9572009999999996E-3</v>
      </c>
      <c r="Q20">
        <v>4.1159999999999999E-3</v>
      </c>
      <c r="R20">
        <v>4.1669999999999997E-3</v>
      </c>
      <c r="S20">
        <v>1.25585257E-2</v>
      </c>
      <c r="T20">
        <v>-3.9510706E-2</v>
      </c>
      <c r="U20">
        <v>0.76900000000000002</v>
      </c>
      <c r="V20">
        <v>1</v>
      </c>
      <c r="X20" t="s">
        <v>17</v>
      </c>
      <c r="AI20" t="s">
        <v>17</v>
      </c>
      <c r="AS20" s="14"/>
    </row>
    <row r="21" spans="1:47" x14ac:dyDescent="0.25">
      <c r="A21" s="14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-1.1999999999999999E-3</v>
      </c>
      <c r="O21">
        <v>-1.573E-3</v>
      </c>
      <c r="P21">
        <v>-3.8063799999999998E-4</v>
      </c>
      <c r="Q21">
        <v>2.1380000000000001E-3</v>
      </c>
      <c r="R21">
        <v>2.1299999999999999E-3</v>
      </c>
      <c r="S21">
        <v>-3.6991250000000002E-3</v>
      </c>
      <c r="T21">
        <v>0.31922916600000001</v>
      </c>
      <c r="U21">
        <v>0.94399999999999995</v>
      </c>
      <c r="V21">
        <v>0.107</v>
      </c>
      <c r="X21" t="s">
        <v>18</v>
      </c>
      <c r="AI21" t="s">
        <v>18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575</v>
      </c>
      <c r="M23" s="1" t="s">
        <v>576</v>
      </c>
      <c r="X23" s="1" t="s">
        <v>577</v>
      </c>
      <c r="AI23" s="1" t="s">
        <v>578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461</v>
      </c>
      <c r="J33" s="12" t="str">
        <f>INDEX('Method Codes'!$B:$B, MATCH(B33, 'Method Codes'!$I:$I,0))</f>
        <v>IND</v>
      </c>
      <c r="K33" s="12" t="str">
        <f>INDEX('Method Codes'!H:H, MATCH(B33, 'Method Codes'!I:I,0))</f>
        <v>3G</v>
      </c>
      <c r="M33" s="1" t="s">
        <v>523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3G</v>
      </c>
      <c r="X33" s="1" t="s">
        <v>579</v>
      </c>
      <c r="AI33" s="1" t="s">
        <v>580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3.1467749999999999</v>
      </c>
      <c r="E35">
        <v>1.13844073E-2</v>
      </c>
      <c r="F35">
        <v>0.29235699999999998</v>
      </c>
      <c r="G35">
        <v>0.31809100000000001</v>
      </c>
      <c r="H35">
        <v>8.8021908900000001E-2</v>
      </c>
      <c r="I35">
        <v>3.6309369999999999E-3</v>
      </c>
      <c r="J35">
        <v>0.95499999999999996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35">
        <v>3.1676310000000001</v>
      </c>
      <c r="P35">
        <v>1.3742812E-2</v>
      </c>
      <c r="Q35">
        <v>0.30263899999999999</v>
      </c>
      <c r="R35">
        <v>0.33338499999999999</v>
      </c>
      <c r="S35">
        <v>0.10159187309999999</v>
      </c>
      <c r="T35">
        <v>4.3574190000000004E-3</v>
      </c>
      <c r="U35">
        <v>0.96</v>
      </c>
      <c r="V35">
        <v>0</v>
      </c>
      <c r="X35" t="s">
        <v>12</v>
      </c>
      <c r="AI35" t="s">
        <v>12</v>
      </c>
      <c r="AS35" s="14"/>
    </row>
    <row r="36" spans="1:47" x14ac:dyDescent="0.25">
      <c r="A36" s="14"/>
      <c r="B36" t="s">
        <v>13</v>
      </c>
      <c r="C36">
        <v>-0.44119999999999998</v>
      </c>
      <c r="D36">
        <v>-0.419682</v>
      </c>
      <c r="E36">
        <v>2.1524769199999998E-2</v>
      </c>
      <c r="F36">
        <v>0.11423800000000001</v>
      </c>
      <c r="G36">
        <v>0.120503</v>
      </c>
      <c r="H36">
        <v>5.4838351200000003E-2</v>
      </c>
      <c r="I36">
        <v>-4.8786180999999998E-2</v>
      </c>
      <c r="J36">
        <v>0.94899999999999995</v>
      </c>
      <c r="K36">
        <v>0</v>
      </c>
      <c r="M36" t="s">
        <v>13</v>
      </c>
      <c r="N36">
        <v>-0.434</v>
      </c>
      <c r="O36">
        <v>-0.41272399999999998</v>
      </c>
      <c r="P36">
        <v>2.1236347999999999E-2</v>
      </c>
      <c r="Q36">
        <v>0.116692</v>
      </c>
      <c r="R36">
        <v>0.124699</v>
      </c>
      <c r="S36">
        <v>6.8610539999999998E-2</v>
      </c>
      <c r="T36">
        <v>-4.8936184000000001E-2</v>
      </c>
      <c r="U36">
        <v>0.95199999999999996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25">
      <c r="A37" s="14"/>
      <c r="B37" t="s">
        <v>14</v>
      </c>
      <c r="C37">
        <v>-7.3000000000000001E-3</v>
      </c>
      <c r="D37">
        <v>-1.9443999999999999E-2</v>
      </c>
      <c r="E37">
        <v>-1.2129768000000001E-2</v>
      </c>
      <c r="F37">
        <v>5.7946999999999999E-2</v>
      </c>
      <c r="G37">
        <v>6.1809000000000003E-2</v>
      </c>
      <c r="H37">
        <v>6.6636597699999994E-2</v>
      </c>
      <c r="I37">
        <v>1.6584386015000001</v>
      </c>
      <c r="J37">
        <v>0.95899999999999996</v>
      </c>
      <c r="K37">
        <v>0</v>
      </c>
      <c r="M37" t="s">
        <v>14</v>
      </c>
      <c r="N37">
        <v>-7.6E-3</v>
      </c>
      <c r="O37">
        <v>-1.9073E-2</v>
      </c>
      <c r="P37">
        <v>-1.1454671E-2</v>
      </c>
      <c r="Q37">
        <v>5.8333000000000003E-2</v>
      </c>
      <c r="R37">
        <v>6.2050000000000001E-2</v>
      </c>
      <c r="S37">
        <v>6.3735111699999999E-2</v>
      </c>
      <c r="T37">
        <v>1.5036301283</v>
      </c>
      <c r="U37">
        <v>0.95799999999999996</v>
      </c>
      <c r="V37">
        <v>0</v>
      </c>
      <c r="X37" t="s">
        <v>14</v>
      </c>
      <c r="AI37" t="s">
        <v>14</v>
      </c>
      <c r="AS37" s="14"/>
    </row>
    <row r="38" spans="1:47" x14ac:dyDescent="0.25">
      <c r="A38" s="14"/>
      <c r="B38" t="s">
        <v>15</v>
      </c>
      <c r="C38">
        <v>-0.45419999999999999</v>
      </c>
      <c r="D38">
        <v>-0.48923899999999998</v>
      </c>
      <c r="E38">
        <v>-3.5050973999999999E-2</v>
      </c>
      <c r="F38">
        <v>9.1696E-2</v>
      </c>
      <c r="G38">
        <v>8.9755000000000001E-2</v>
      </c>
      <c r="H38">
        <v>-2.1163898E-2</v>
      </c>
      <c r="I38">
        <v>7.7172822500000002E-2</v>
      </c>
      <c r="J38">
        <v>0.85799999999999998</v>
      </c>
      <c r="K38">
        <v>0</v>
      </c>
      <c r="M38" t="s">
        <v>15</v>
      </c>
      <c r="N38">
        <v>-0.4551</v>
      </c>
      <c r="O38">
        <v>-0.49490000000000001</v>
      </c>
      <c r="P38">
        <v>-3.9768283000000001E-2</v>
      </c>
      <c r="Q38">
        <v>9.4832E-2</v>
      </c>
      <c r="R38">
        <v>9.3124999999999999E-2</v>
      </c>
      <c r="S38">
        <v>-1.7996224000000002E-2</v>
      </c>
      <c r="T38">
        <v>8.7377492200000004E-2</v>
      </c>
      <c r="U38">
        <v>0.85599999999999998</v>
      </c>
      <c r="V38">
        <v>0</v>
      </c>
      <c r="X38" t="s">
        <v>15</v>
      </c>
      <c r="AI38" t="s">
        <v>15</v>
      </c>
      <c r="AS38" s="14"/>
    </row>
    <row r="39" spans="1:47" x14ac:dyDescent="0.25">
      <c r="A39" s="14"/>
      <c r="B39" t="s">
        <v>16</v>
      </c>
      <c r="C39">
        <v>-8.2500000000000004E-2</v>
      </c>
      <c r="D39">
        <v>-9.1289999999999996E-2</v>
      </c>
      <c r="E39">
        <v>-8.7480400000000003E-3</v>
      </c>
      <c r="F39">
        <v>7.1066000000000004E-2</v>
      </c>
      <c r="G39">
        <v>7.6525999999999997E-2</v>
      </c>
      <c r="H39">
        <v>7.6832439099999997E-2</v>
      </c>
      <c r="I39">
        <v>0.1059823634</v>
      </c>
      <c r="J39">
        <v>0.96899999999999997</v>
      </c>
      <c r="K39">
        <v>0</v>
      </c>
      <c r="M39" t="s">
        <v>16</v>
      </c>
      <c r="N39">
        <v>-8.0399999999999999E-2</v>
      </c>
      <c r="O39">
        <v>-8.7982000000000005E-2</v>
      </c>
      <c r="P39">
        <v>-7.5759299999999998E-3</v>
      </c>
      <c r="Q39">
        <v>7.0910000000000001E-2</v>
      </c>
      <c r="R39">
        <v>7.6911999999999994E-2</v>
      </c>
      <c r="S39">
        <v>8.4634657200000005E-2</v>
      </c>
      <c r="T39">
        <v>9.4220326300000004E-2</v>
      </c>
      <c r="U39">
        <v>0.96699999999999997</v>
      </c>
      <c r="V39">
        <v>0</v>
      </c>
      <c r="X39" t="s">
        <v>16</v>
      </c>
      <c r="AI39" t="s">
        <v>16</v>
      </c>
      <c r="AS39" s="14"/>
    </row>
    <row r="40" spans="1:47" x14ac:dyDescent="0.25">
      <c r="A40" s="14"/>
      <c r="B40" t="s">
        <v>17</v>
      </c>
      <c r="C40">
        <v>-0.12590000000000001</v>
      </c>
      <c r="D40">
        <v>-0.130326</v>
      </c>
      <c r="E40">
        <v>-4.3794200000000002E-3</v>
      </c>
      <c r="F40">
        <v>8.4939999999999998E-3</v>
      </c>
      <c r="G40">
        <v>8.6709999999999999E-3</v>
      </c>
      <c r="H40">
        <v>2.0858743799999999E-2</v>
      </c>
      <c r="I40">
        <v>3.4772125799999998E-2</v>
      </c>
      <c r="J40">
        <v>0.91800000000000004</v>
      </c>
      <c r="K40">
        <v>0</v>
      </c>
      <c r="M40" t="s">
        <v>17</v>
      </c>
      <c r="N40">
        <v>-0.1255</v>
      </c>
      <c r="O40">
        <v>-0.13025400000000001</v>
      </c>
      <c r="P40">
        <v>-4.7893720000000001E-3</v>
      </c>
      <c r="Q40">
        <v>9.0480000000000005E-3</v>
      </c>
      <c r="R40">
        <v>9.2270000000000008E-3</v>
      </c>
      <c r="S40">
        <v>1.9742460100000001E-2</v>
      </c>
      <c r="T40">
        <v>3.8173050200000003E-2</v>
      </c>
      <c r="U40">
        <v>0.91800000000000004</v>
      </c>
      <c r="V40">
        <v>0</v>
      </c>
      <c r="X40" t="s">
        <v>17</v>
      </c>
      <c r="AI40" t="s">
        <v>17</v>
      </c>
      <c r="AS40" s="14"/>
    </row>
    <row r="41" spans="1:47" x14ac:dyDescent="0.25">
      <c r="A41" s="14"/>
      <c r="B41" t="s">
        <v>18</v>
      </c>
      <c r="C41">
        <v>-6.9999999999999999E-4</v>
      </c>
      <c r="D41">
        <v>2.8170000000000001E-3</v>
      </c>
      <c r="E41">
        <v>3.5245578E-3</v>
      </c>
      <c r="F41">
        <v>6.3239999999999998E-3</v>
      </c>
      <c r="G41">
        <v>6.535E-3</v>
      </c>
      <c r="H41">
        <v>3.33815025E-2</v>
      </c>
      <c r="I41">
        <v>-4.9802180079999996</v>
      </c>
      <c r="J41">
        <v>0.91</v>
      </c>
      <c r="K41">
        <v>0</v>
      </c>
      <c r="M41" t="s">
        <v>18</v>
      </c>
      <c r="N41">
        <v>-1.1999999999999999E-3</v>
      </c>
      <c r="O41">
        <v>2.715E-3</v>
      </c>
      <c r="P41">
        <v>3.9073865999999999E-3</v>
      </c>
      <c r="Q41">
        <v>6.9820000000000004E-3</v>
      </c>
      <c r="R41">
        <v>7.2009999999999999E-3</v>
      </c>
      <c r="S41">
        <v>3.1417913200000001E-2</v>
      </c>
      <c r="T41">
        <v>-3.277004823</v>
      </c>
      <c r="U41">
        <v>0.90900000000000003</v>
      </c>
      <c r="V41">
        <v>0</v>
      </c>
      <c r="X41" t="s">
        <v>18</v>
      </c>
      <c r="AI41" t="s">
        <v>18</v>
      </c>
      <c r="AS41" s="14"/>
    </row>
    <row r="43" spans="1:47" ht="14.45" customHeight="1" x14ac:dyDescent="0.25">
      <c r="A43" s="13" t="s">
        <v>70</v>
      </c>
      <c r="B43" s="1" t="s">
        <v>473</v>
      </c>
      <c r="J43" s="12" t="str">
        <f>INDEX('Method Codes'!$B:$B, MATCH(B43, 'Method Codes'!$I:$I,0))</f>
        <v>IND</v>
      </c>
      <c r="K43" s="12" t="str">
        <f>INDEX('Method Codes'!H:H, MATCH(B43, 'Method Codes'!I:I,0))</f>
        <v>4M</v>
      </c>
      <c r="M43" s="1" t="s">
        <v>534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4M</v>
      </c>
      <c r="X43" s="1" t="s">
        <v>581</v>
      </c>
      <c r="AI43" s="1" t="s">
        <v>582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3.144787</v>
      </c>
      <c r="E45">
        <v>9.3957216999999999E-3</v>
      </c>
      <c r="F45">
        <v>0.24965499999999999</v>
      </c>
      <c r="G45">
        <v>0.240505</v>
      </c>
      <c r="H45">
        <v>-3.6650000000000002E-2</v>
      </c>
      <c r="I45">
        <v>2.9966667000000001E-3</v>
      </c>
      <c r="J45">
        <v>0.93899999999999995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45">
        <v>3.1699609999999998</v>
      </c>
      <c r="P45">
        <v>1.6073073199999999E-2</v>
      </c>
      <c r="Q45">
        <v>0.261237</v>
      </c>
      <c r="R45">
        <v>0.25204900000000002</v>
      </c>
      <c r="S45">
        <v>-3.5171143000000002E-2</v>
      </c>
      <c r="T45">
        <v>5.0962725000000004E-3</v>
      </c>
      <c r="U45">
        <v>0.94499999999999995</v>
      </c>
      <c r="V45">
        <v>1</v>
      </c>
      <c r="X45" t="s">
        <v>12</v>
      </c>
      <c r="AI45" t="s">
        <v>12</v>
      </c>
      <c r="AS45" s="14"/>
    </row>
    <row r="46" spans="1:47" x14ac:dyDescent="0.25">
      <c r="A46" s="14"/>
      <c r="B46" t="s">
        <v>13</v>
      </c>
      <c r="C46">
        <v>-0.44119999999999998</v>
      </c>
      <c r="D46">
        <v>-0.45041700000000001</v>
      </c>
      <c r="E46">
        <v>-9.2110850000000008E-3</v>
      </c>
      <c r="F46">
        <v>9.7388000000000002E-2</v>
      </c>
      <c r="G46">
        <v>9.2283000000000004E-2</v>
      </c>
      <c r="H46">
        <v>-5.2423840999999999E-2</v>
      </c>
      <c r="I46">
        <v>2.0877049799999998E-2</v>
      </c>
      <c r="J46">
        <v>0.94</v>
      </c>
      <c r="K46">
        <v>0.99399999999999999</v>
      </c>
      <c r="M46" t="s">
        <v>13</v>
      </c>
      <c r="N46">
        <v>-0.434</v>
      </c>
      <c r="O46">
        <v>-0.44195400000000001</v>
      </c>
      <c r="P46">
        <v>-7.9939610000000008E-3</v>
      </c>
      <c r="Q46">
        <v>0.10108499999999999</v>
      </c>
      <c r="R46">
        <v>9.5857999999999999E-2</v>
      </c>
      <c r="S46">
        <v>-5.1709566999999998E-2</v>
      </c>
      <c r="T46">
        <v>1.84209608E-2</v>
      </c>
      <c r="U46">
        <v>0.93700000000000006</v>
      </c>
      <c r="V46">
        <v>0.99199999999999999</v>
      </c>
      <c r="X46" t="s">
        <v>13</v>
      </c>
      <c r="AI46" t="s">
        <v>13</v>
      </c>
      <c r="AS46" s="14"/>
    </row>
    <row r="47" spans="1:47" x14ac:dyDescent="0.25">
      <c r="A47" s="14"/>
      <c r="B47" t="s">
        <v>14</v>
      </c>
      <c r="C47">
        <v>-7.3000000000000001E-3</v>
      </c>
      <c r="D47">
        <v>-7.9080000000000001E-3</v>
      </c>
      <c r="E47">
        <v>-5.94233E-4</v>
      </c>
      <c r="F47">
        <v>5.6341000000000002E-2</v>
      </c>
      <c r="G47">
        <v>5.6520000000000001E-2</v>
      </c>
      <c r="H47">
        <v>3.18286E-3</v>
      </c>
      <c r="I47">
        <v>8.1246371100000006E-2</v>
      </c>
      <c r="J47">
        <v>0.95399999999999996</v>
      </c>
      <c r="K47">
        <v>4.8000000000000001E-2</v>
      </c>
      <c r="M47" t="s">
        <v>14</v>
      </c>
      <c r="N47">
        <v>-7.6E-3</v>
      </c>
      <c r="O47">
        <v>-7.8499999999999993E-3</v>
      </c>
      <c r="P47">
        <v>-2.31537E-4</v>
      </c>
      <c r="Q47">
        <v>5.8608E-2</v>
      </c>
      <c r="R47">
        <v>5.8319000000000003E-2</v>
      </c>
      <c r="S47">
        <v>-4.9318410000000002E-3</v>
      </c>
      <c r="T47">
        <v>3.0393321300000001E-2</v>
      </c>
      <c r="U47">
        <v>0.95199999999999996</v>
      </c>
      <c r="V47">
        <v>4.7E-2</v>
      </c>
      <c r="X47" t="s">
        <v>14</v>
      </c>
      <c r="AI47" t="s">
        <v>14</v>
      </c>
      <c r="AS47" s="14"/>
    </row>
    <row r="48" spans="1:47" x14ac:dyDescent="0.25">
      <c r="A48" s="14"/>
      <c r="B48" t="s">
        <v>15</v>
      </c>
      <c r="C48">
        <v>-0.45419999999999999</v>
      </c>
      <c r="D48">
        <v>-0.44984499999999999</v>
      </c>
      <c r="E48">
        <v>4.3431338999999998E-3</v>
      </c>
      <c r="F48">
        <v>6.1608999999999997E-2</v>
      </c>
      <c r="G48">
        <v>5.8748000000000002E-2</v>
      </c>
      <c r="H48">
        <v>-4.6435732E-2</v>
      </c>
      <c r="I48">
        <v>-9.5624130000000005E-3</v>
      </c>
      <c r="J48">
        <v>0.93700000000000006</v>
      </c>
      <c r="K48">
        <v>1</v>
      </c>
      <c r="M48" t="s">
        <v>15</v>
      </c>
      <c r="N48">
        <v>-0.4551</v>
      </c>
      <c r="O48">
        <v>-0.45411899999999999</v>
      </c>
      <c r="P48">
        <v>1.0130975999999999E-3</v>
      </c>
      <c r="Q48">
        <v>6.4685000000000006E-2</v>
      </c>
      <c r="R48">
        <v>6.2021E-2</v>
      </c>
      <c r="S48">
        <v>-4.1177094999999997E-2</v>
      </c>
      <c r="T48">
        <v>-2.2259430000000002E-3</v>
      </c>
      <c r="U48">
        <v>0.94599999999999995</v>
      </c>
      <c r="V48">
        <v>1</v>
      </c>
      <c r="X48" t="s">
        <v>15</v>
      </c>
      <c r="AI48" t="s">
        <v>15</v>
      </c>
      <c r="AS48" s="14"/>
    </row>
    <row r="49" spans="1:45" x14ac:dyDescent="0.25">
      <c r="A49" s="14"/>
      <c r="B49" t="s">
        <v>16</v>
      </c>
      <c r="C49">
        <v>-8.2500000000000004E-2</v>
      </c>
      <c r="D49">
        <v>-8.5322999999999996E-2</v>
      </c>
      <c r="E49">
        <v>-2.7804399999999999E-3</v>
      </c>
      <c r="F49">
        <v>7.2197999999999998E-2</v>
      </c>
      <c r="G49">
        <v>7.1469000000000005E-2</v>
      </c>
      <c r="H49">
        <v>-1.0098918E-2</v>
      </c>
      <c r="I49">
        <v>3.3684990200000001E-2</v>
      </c>
      <c r="J49">
        <v>0.95099999999999996</v>
      </c>
      <c r="K49">
        <v>0.23599999999999999</v>
      </c>
      <c r="M49" t="s">
        <v>16</v>
      </c>
      <c r="N49">
        <v>-8.0399999999999999E-2</v>
      </c>
      <c r="O49">
        <v>-8.2405999999999993E-2</v>
      </c>
      <c r="P49">
        <v>-1.999537E-3</v>
      </c>
      <c r="Q49">
        <v>7.4315999999999993E-2</v>
      </c>
      <c r="R49">
        <v>7.3714000000000002E-2</v>
      </c>
      <c r="S49">
        <v>-8.1013820000000007E-3</v>
      </c>
      <c r="T49">
        <v>2.4867837899999998E-2</v>
      </c>
      <c r="U49">
        <v>0.94699999999999995</v>
      </c>
      <c r="V49">
        <v>0.214</v>
      </c>
      <c r="X49" t="s">
        <v>16</v>
      </c>
      <c r="AI49" t="s">
        <v>16</v>
      </c>
      <c r="AS49" s="14"/>
    </row>
    <row r="50" spans="1:45" x14ac:dyDescent="0.25">
      <c r="A50" s="14"/>
      <c r="B50" t="s">
        <v>17</v>
      </c>
      <c r="C50">
        <v>-0.12590000000000001</v>
      </c>
      <c r="D50">
        <v>-0.12592700000000001</v>
      </c>
      <c r="E50">
        <v>1.9296500000000001E-5</v>
      </c>
      <c r="F50">
        <v>5.7990000000000003E-3</v>
      </c>
      <c r="G50">
        <v>5.7800000000000004E-3</v>
      </c>
      <c r="H50">
        <v>-3.2168169999999999E-3</v>
      </c>
      <c r="I50">
        <v>-1.5321200000000001E-4</v>
      </c>
      <c r="J50">
        <v>0.94899999999999995</v>
      </c>
      <c r="K50">
        <v>1</v>
      </c>
      <c r="M50" t="s">
        <v>17</v>
      </c>
      <c r="N50">
        <v>-0.1255</v>
      </c>
      <c r="O50">
        <v>-0.125529</v>
      </c>
      <c r="P50">
        <v>-6.4165999999999995E-5</v>
      </c>
      <c r="Q50">
        <v>5.8370000000000002E-3</v>
      </c>
      <c r="R50">
        <v>5.7920000000000003E-3</v>
      </c>
      <c r="S50">
        <v>-7.8554479999999993E-3</v>
      </c>
      <c r="T50">
        <v>5.1142379999999995E-4</v>
      </c>
      <c r="U50">
        <v>0.94899999999999995</v>
      </c>
      <c r="V50">
        <v>1</v>
      </c>
      <c r="X50" t="s">
        <v>17</v>
      </c>
      <c r="AI50" t="s">
        <v>17</v>
      </c>
      <c r="AS50" s="14"/>
    </row>
    <row r="51" spans="1:45" x14ac:dyDescent="0.25">
      <c r="A51" s="14"/>
      <c r="B51" t="s">
        <v>18</v>
      </c>
      <c r="C51">
        <v>-6.9999999999999999E-4</v>
      </c>
      <c r="D51">
        <v>-9.68E-4</v>
      </c>
      <c r="E51">
        <v>-2.6044399999999998E-4</v>
      </c>
      <c r="F51">
        <v>2.9989999999999999E-3</v>
      </c>
      <c r="G51">
        <v>2.9060000000000002E-3</v>
      </c>
      <c r="H51">
        <v>-3.1026291000000001E-2</v>
      </c>
      <c r="I51">
        <v>0.36800887510000002</v>
      </c>
      <c r="J51">
        <v>0.94</v>
      </c>
      <c r="K51">
        <v>6.4000000000000001E-2</v>
      </c>
      <c r="M51" t="s">
        <v>18</v>
      </c>
      <c r="N51">
        <v>-1.1999999999999999E-3</v>
      </c>
      <c r="O51">
        <v>-1.392E-3</v>
      </c>
      <c r="P51">
        <v>-1.9961600000000001E-4</v>
      </c>
      <c r="Q51">
        <v>2.9979999999999998E-3</v>
      </c>
      <c r="R51">
        <v>2.879E-3</v>
      </c>
      <c r="S51">
        <v>-3.9630738999999998E-2</v>
      </c>
      <c r="T51">
        <v>0.1674120965</v>
      </c>
      <c r="U51">
        <v>0.94599999999999995</v>
      </c>
      <c r="V51">
        <v>8.4000000000000005E-2</v>
      </c>
      <c r="X51" t="s">
        <v>18</v>
      </c>
      <c r="AI51" t="s">
        <v>18</v>
      </c>
      <c r="AS51" s="14"/>
    </row>
    <row r="53" spans="1:45" ht="14.45" customHeight="1" x14ac:dyDescent="0.25">
      <c r="A53" s="13" t="s">
        <v>97</v>
      </c>
      <c r="B53" s="1" t="s">
        <v>481</v>
      </c>
      <c r="J53" s="12" t="str">
        <f>INDEX('Method Codes'!$B:$B, MATCH(B53, 'Method Codes'!$I:$I,0))</f>
        <v>IND</v>
      </c>
      <c r="K53" s="12" t="str">
        <f>INDEX('Method Codes'!H:H, MATCH(B53, 'Method Codes'!I:I,0))</f>
        <v>5G</v>
      </c>
      <c r="M53" s="1" t="s">
        <v>541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5G</v>
      </c>
      <c r="X53" s="1" t="s">
        <v>583</v>
      </c>
      <c r="AI53" s="1" t="s">
        <v>584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3.2193019999999999</v>
      </c>
      <c r="E55">
        <v>8.3910925600000005E-2</v>
      </c>
      <c r="F55">
        <v>0.19766500000000001</v>
      </c>
      <c r="G55">
        <v>0.20230300000000001</v>
      </c>
      <c r="H55">
        <v>2.3465198499999999E-2</v>
      </c>
      <c r="I55">
        <v>2.6762507500000001E-2</v>
      </c>
      <c r="J55">
        <v>0.93500000000000005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5">
        <v>3.2602150000000001</v>
      </c>
      <c r="P55">
        <v>0.1063266021</v>
      </c>
      <c r="Q55">
        <v>0.20696700000000001</v>
      </c>
      <c r="R55">
        <v>0.21354000000000001</v>
      </c>
      <c r="S55">
        <v>3.1761277599999999E-2</v>
      </c>
      <c r="T55">
        <v>3.3712864100000003E-2</v>
      </c>
      <c r="U55">
        <v>0.92200000000000004</v>
      </c>
      <c r="V55">
        <v>0</v>
      </c>
      <c r="X55" t="s">
        <v>12</v>
      </c>
      <c r="AI55" t="s">
        <v>12</v>
      </c>
      <c r="AS55" s="14"/>
    </row>
    <row r="56" spans="1:45" x14ac:dyDescent="0.25">
      <c r="A56" s="14"/>
      <c r="B56" t="s">
        <v>13</v>
      </c>
      <c r="C56">
        <v>-0.44119999999999998</v>
      </c>
      <c r="D56">
        <v>-0.469972</v>
      </c>
      <c r="E56">
        <v>-2.8765717E-2</v>
      </c>
      <c r="F56">
        <v>7.2525999999999993E-2</v>
      </c>
      <c r="G56">
        <v>7.3565000000000005E-2</v>
      </c>
      <c r="H56">
        <v>1.4315092999999999E-2</v>
      </c>
      <c r="I56">
        <v>6.5197887100000004E-2</v>
      </c>
      <c r="J56">
        <v>0.93600000000000005</v>
      </c>
      <c r="K56">
        <v>0</v>
      </c>
      <c r="M56" t="s">
        <v>13</v>
      </c>
      <c r="N56">
        <v>-0.434</v>
      </c>
      <c r="O56">
        <v>-0.45988600000000002</v>
      </c>
      <c r="P56">
        <v>-2.5926066000000001E-2</v>
      </c>
      <c r="Q56">
        <v>7.4580999999999995E-2</v>
      </c>
      <c r="R56">
        <v>7.6430999999999999E-2</v>
      </c>
      <c r="S56">
        <v>2.4815975699999999E-2</v>
      </c>
      <c r="T56">
        <v>5.9742982299999997E-2</v>
      </c>
      <c r="U56">
        <v>0.94499999999999995</v>
      </c>
      <c r="V56">
        <v>0</v>
      </c>
      <c r="X56" t="s">
        <v>13</v>
      </c>
      <c r="AI56" t="s">
        <v>13</v>
      </c>
      <c r="AS56" s="14"/>
    </row>
    <row r="57" spans="1:45" x14ac:dyDescent="0.25">
      <c r="A57" s="14"/>
      <c r="B57" t="s">
        <v>14</v>
      </c>
      <c r="C57">
        <v>-7.3000000000000001E-3</v>
      </c>
      <c r="D57">
        <v>-1.5195999999999999E-2</v>
      </c>
      <c r="E57">
        <v>-7.8818199999999995E-3</v>
      </c>
      <c r="F57">
        <v>3.8025000000000003E-2</v>
      </c>
      <c r="G57">
        <v>4.4096999999999997E-2</v>
      </c>
      <c r="H57">
        <v>0.15968362080000001</v>
      </c>
      <c r="I57">
        <v>1.0776392228</v>
      </c>
      <c r="J57">
        <v>0.97499999999999998</v>
      </c>
      <c r="K57">
        <v>0</v>
      </c>
      <c r="M57" t="s">
        <v>14</v>
      </c>
      <c r="N57">
        <v>-7.6E-3</v>
      </c>
      <c r="O57">
        <v>-1.5698E-2</v>
      </c>
      <c r="P57">
        <v>-8.0796400000000008E-3</v>
      </c>
      <c r="Q57">
        <v>3.8968999999999997E-2</v>
      </c>
      <c r="R57">
        <v>4.5339999999999998E-2</v>
      </c>
      <c r="S57">
        <v>0.16350511549999999</v>
      </c>
      <c r="T57">
        <v>1.0605970264</v>
      </c>
      <c r="U57">
        <v>0.97199999999999998</v>
      </c>
      <c r="V57">
        <v>0</v>
      </c>
      <c r="X57" t="s">
        <v>14</v>
      </c>
      <c r="AI57" t="s">
        <v>14</v>
      </c>
      <c r="AS57" s="14"/>
    </row>
    <row r="58" spans="1:45" x14ac:dyDescent="0.25">
      <c r="A58" s="14"/>
      <c r="B58" t="s">
        <v>15</v>
      </c>
      <c r="C58">
        <v>-0.45419999999999999</v>
      </c>
      <c r="D58">
        <v>-0.47839799999999999</v>
      </c>
      <c r="E58">
        <v>-2.4210004E-2</v>
      </c>
      <c r="F58">
        <v>4.8411000000000003E-2</v>
      </c>
      <c r="G58">
        <v>4.8596E-2</v>
      </c>
      <c r="H58">
        <v>3.8126709000000001E-3</v>
      </c>
      <c r="I58">
        <v>5.3303921400000003E-2</v>
      </c>
      <c r="J58">
        <v>0.91800000000000004</v>
      </c>
      <c r="K58">
        <v>0</v>
      </c>
      <c r="M58" t="s">
        <v>15</v>
      </c>
      <c r="N58">
        <v>-0.4551</v>
      </c>
      <c r="O58">
        <v>-0.48810300000000001</v>
      </c>
      <c r="P58">
        <v>-3.2970721000000001E-2</v>
      </c>
      <c r="Q58">
        <v>5.0978000000000002E-2</v>
      </c>
      <c r="R58">
        <v>5.1567000000000002E-2</v>
      </c>
      <c r="S58">
        <v>1.15687868E-2</v>
      </c>
      <c r="T58">
        <v>7.2442124499999996E-2</v>
      </c>
      <c r="U58">
        <v>0.90300000000000002</v>
      </c>
      <c r="V58">
        <v>0</v>
      </c>
      <c r="X58" t="s">
        <v>15</v>
      </c>
      <c r="AI58" t="s">
        <v>15</v>
      </c>
      <c r="AS58" s="14"/>
    </row>
    <row r="59" spans="1:45" x14ac:dyDescent="0.25">
      <c r="A59" s="14"/>
      <c r="B59" t="s">
        <v>16</v>
      </c>
      <c r="C59">
        <v>-8.2500000000000004E-2</v>
      </c>
      <c r="D59">
        <v>-6.5894999999999995E-2</v>
      </c>
      <c r="E59">
        <v>1.6647420100000001E-2</v>
      </c>
      <c r="F59">
        <v>5.0471000000000002E-2</v>
      </c>
      <c r="G59">
        <v>5.4779000000000001E-2</v>
      </c>
      <c r="H59">
        <v>8.5348312400000001E-2</v>
      </c>
      <c r="I59">
        <v>-0.20168322599999999</v>
      </c>
      <c r="J59">
        <v>0.95099999999999996</v>
      </c>
      <c r="K59">
        <v>0</v>
      </c>
      <c r="M59" t="s">
        <v>16</v>
      </c>
      <c r="N59">
        <v>-8.0399999999999999E-2</v>
      </c>
      <c r="O59">
        <v>-5.8452999999999998E-2</v>
      </c>
      <c r="P59">
        <v>2.1953727999999999E-2</v>
      </c>
      <c r="Q59">
        <v>5.1505000000000002E-2</v>
      </c>
      <c r="R59">
        <v>5.6384999999999998E-2</v>
      </c>
      <c r="S59">
        <v>9.4743799099999998E-2</v>
      </c>
      <c r="T59">
        <v>-0.27303412799999999</v>
      </c>
      <c r="U59">
        <v>0.95</v>
      </c>
      <c r="V59">
        <v>0</v>
      </c>
      <c r="X59" t="s">
        <v>16</v>
      </c>
      <c r="AI59" t="s">
        <v>16</v>
      </c>
      <c r="AS59" s="14"/>
    </row>
    <row r="60" spans="1:45" x14ac:dyDescent="0.25">
      <c r="A60" s="14"/>
      <c r="B60" t="s">
        <v>17</v>
      </c>
      <c r="C60">
        <v>-0.12590000000000001</v>
      </c>
      <c r="D60">
        <v>-0.128057</v>
      </c>
      <c r="E60">
        <v>-2.1110320000000001E-3</v>
      </c>
      <c r="F60">
        <v>4.875E-3</v>
      </c>
      <c r="G60">
        <v>4.9810000000000002E-3</v>
      </c>
      <c r="H60">
        <v>2.17208848E-2</v>
      </c>
      <c r="I60">
        <v>1.6761368700000001E-2</v>
      </c>
      <c r="J60">
        <v>0.94499999999999995</v>
      </c>
      <c r="K60">
        <v>0</v>
      </c>
      <c r="M60" t="s">
        <v>17</v>
      </c>
      <c r="N60">
        <v>-0.1255</v>
      </c>
      <c r="O60">
        <v>-0.12684200000000001</v>
      </c>
      <c r="P60">
        <v>-1.3769609999999999E-3</v>
      </c>
      <c r="Q60">
        <v>4.9059999999999998E-3</v>
      </c>
      <c r="R60">
        <v>5.0049999999999999E-3</v>
      </c>
      <c r="S60">
        <v>2.0076424200000002E-2</v>
      </c>
      <c r="T60">
        <v>1.09748854E-2</v>
      </c>
      <c r="U60">
        <v>0.96599999999999997</v>
      </c>
      <c r="V60">
        <v>0</v>
      </c>
      <c r="X60" t="s">
        <v>17</v>
      </c>
      <c r="AI60" t="s">
        <v>17</v>
      </c>
      <c r="AS60" s="14"/>
    </row>
    <row r="61" spans="1:45" x14ac:dyDescent="0.25">
      <c r="A61" s="14"/>
      <c r="B61" t="s">
        <v>18</v>
      </c>
      <c r="C61">
        <v>-6.9999999999999999E-4</v>
      </c>
      <c r="D61">
        <v>-3.4600000000000001E-4</v>
      </c>
      <c r="E61">
        <v>3.6141880000000002E-4</v>
      </c>
      <c r="F61">
        <v>2.3730000000000001E-3</v>
      </c>
      <c r="G61">
        <v>2.5790000000000001E-3</v>
      </c>
      <c r="H61">
        <v>8.6720538099999994E-2</v>
      </c>
      <c r="I61">
        <v>-0.51068665300000005</v>
      </c>
      <c r="J61">
        <v>0.96299999999999997</v>
      </c>
      <c r="K61">
        <v>0</v>
      </c>
      <c r="M61" t="s">
        <v>18</v>
      </c>
      <c r="N61">
        <v>-1.1999999999999999E-3</v>
      </c>
      <c r="O61">
        <v>-7.4299999999999995E-4</v>
      </c>
      <c r="P61">
        <v>4.4908790000000001E-4</v>
      </c>
      <c r="Q61">
        <v>2.3679999999999999E-3</v>
      </c>
      <c r="R61">
        <v>2.594E-3</v>
      </c>
      <c r="S61">
        <v>9.5653749800000007E-2</v>
      </c>
      <c r="T61">
        <v>-0.37663620199999998</v>
      </c>
      <c r="U61">
        <v>0.96199999999999997</v>
      </c>
      <c r="V61">
        <v>0</v>
      </c>
      <c r="X61" t="s">
        <v>18</v>
      </c>
      <c r="AI61" t="s">
        <v>18</v>
      </c>
      <c r="AS61" s="14"/>
    </row>
    <row r="63" spans="1:45" ht="14.45" customHeight="1" x14ac:dyDescent="0.25">
      <c r="A63" s="13" t="s">
        <v>98</v>
      </c>
      <c r="B63" s="1" t="s">
        <v>493</v>
      </c>
      <c r="J63" s="12" t="str">
        <f>INDEX('Method Codes'!$B:$B, MATCH(B63, 'Method Codes'!$I:$I,0))</f>
        <v>IND</v>
      </c>
      <c r="K63" s="12" t="str">
        <f>INDEX('Method Codes'!H:H, MATCH(B63, 'Method Codes'!I:I,0))</f>
        <v>6M</v>
      </c>
      <c r="M63" s="1" t="s">
        <v>552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6M</v>
      </c>
      <c r="X63" s="1" t="s">
        <v>585</v>
      </c>
      <c r="AI63" s="1" t="s">
        <v>586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3.1320410000000001</v>
      </c>
      <c r="E65">
        <v>-3.3498949999999999E-3</v>
      </c>
      <c r="F65">
        <v>0.200431</v>
      </c>
      <c r="G65">
        <v>0.19248199999999999</v>
      </c>
      <c r="H65">
        <v>-3.9659288000000001E-2</v>
      </c>
      <c r="I65">
        <v>-1.068414E-3</v>
      </c>
      <c r="J65">
        <v>0.94199999999999995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65">
        <v>3.1725620000000001</v>
      </c>
      <c r="P65">
        <v>1.86743082E-2</v>
      </c>
      <c r="Q65">
        <v>0.20907400000000001</v>
      </c>
      <c r="R65">
        <v>0.20135</v>
      </c>
      <c r="S65">
        <v>-3.6943787999999998E-2</v>
      </c>
      <c r="T65">
        <v>5.9210432999999996E-3</v>
      </c>
      <c r="U65">
        <v>0.93600000000000005</v>
      </c>
      <c r="V65">
        <v>1</v>
      </c>
      <c r="X65" t="s">
        <v>12</v>
      </c>
      <c r="AI65" t="s">
        <v>12</v>
      </c>
      <c r="AS65" s="14"/>
    </row>
    <row r="66" spans="1:45" x14ac:dyDescent="0.25">
      <c r="A66" s="14"/>
      <c r="B66" t="s">
        <v>13</v>
      </c>
      <c r="C66">
        <v>-0.44119999999999998</v>
      </c>
      <c r="D66">
        <v>-0.44549699999999998</v>
      </c>
      <c r="E66">
        <v>-4.290355E-3</v>
      </c>
      <c r="F66">
        <v>7.4695999999999999E-2</v>
      </c>
      <c r="G66">
        <v>6.9973999999999995E-2</v>
      </c>
      <c r="H66">
        <v>-6.3220643000000007E-2</v>
      </c>
      <c r="I66">
        <v>9.7241484999999999E-3</v>
      </c>
      <c r="J66">
        <v>0.92800000000000005</v>
      </c>
      <c r="K66">
        <v>1</v>
      </c>
      <c r="M66" t="s">
        <v>13</v>
      </c>
      <c r="N66">
        <v>-0.434</v>
      </c>
      <c r="O66">
        <v>-0.43319600000000003</v>
      </c>
      <c r="P66">
        <v>7.6393679999999995E-4</v>
      </c>
      <c r="Q66">
        <v>7.6814999999999994E-2</v>
      </c>
      <c r="R66">
        <v>7.1982000000000004E-2</v>
      </c>
      <c r="S66">
        <v>-6.2910711999999994E-2</v>
      </c>
      <c r="T66">
        <v>-1.7603849999999999E-3</v>
      </c>
      <c r="U66">
        <v>0.92600000000000005</v>
      </c>
      <c r="V66">
        <v>1</v>
      </c>
      <c r="X66" t="s">
        <v>13</v>
      </c>
      <c r="AI66" t="s">
        <v>13</v>
      </c>
      <c r="AS66" s="14"/>
    </row>
    <row r="67" spans="1:45" x14ac:dyDescent="0.25">
      <c r="A67" s="14"/>
      <c r="B67" t="s">
        <v>14</v>
      </c>
      <c r="C67">
        <v>-7.3000000000000001E-3</v>
      </c>
      <c r="D67">
        <v>-7.8220000000000008E-3</v>
      </c>
      <c r="E67">
        <v>-5.0774700000000002E-4</v>
      </c>
      <c r="F67">
        <v>4.1917999999999997E-2</v>
      </c>
      <c r="G67">
        <v>4.2979000000000003E-2</v>
      </c>
      <c r="H67">
        <v>2.5319254100000001E-2</v>
      </c>
      <c r="I67">
        <v>6.9421544000000002E-2</v>
      </c>
      <c r="J67">
        <v>0.95299999999999996</v>
      </c>
      <c r="K67">
        <v>5.0999999999999997E-2</v>
      </c>
      <c r="M67" t="s">
        <v>14</v>
      </c>
      <c r="N67">
        <v>-7.6E-3</v>
      </c>
      <c r="O67">
        <v>-7.8329999999999997E-3</v>
      </c>
      <c r="P67">
        <v>-2.1458E-4</v>
      </c>
      <c r="Q67">
        <v>4.3004000000000001E-2</v>
      </c>
      <c r="R67">
        <v>4.3844000000000001E-2</v>
      </c>
      <c r="S67">
        <v>1.9546474500000001E-2</v>
      </c>
      <c r="T67">
        <v>2.81674874E-2</v>
      </c>
      <c r="U67">
        <v>0.94599999999999995</v>
      </c>
      <c r="V67">
        <v>5.8000000000000003E-2</v>
      </c>
      <c r="X67" t="s">
        <v>14</v>
      </c>
      <c r="AI67" t="s">
        <v>14</v>
      </c>
      <c r="AS67" s="14"/>
    </row>
    <row r="68" spans="1:45" x14ac:dyDescent="0.25">
      <c r="A68" s="14"/>
      <c r="B68" t="s">
        <v>15</v>
      </c>
      <c r="C68">
        <v>-0.45419999999999999</v>
      </c>
      <c r="D68">
        <v>-0.45200800000000002</v>
      </c>
      <c r="E68">
        <v>2.1799899000000001E-3</v>
      </c>
      <c r="F68">
        <v>4.7518999999999999E-2</v>
      </c>
      <c r="G68">
        <v>4.5051000000000001E-2</v>
      </c>
      <c r="H68">
        <v>-5.1931553999999998E-2</v>
      </c>
      <c r="I68">
        <v>-4.799752E-3</v>
      </c>
      <c r="J68">
        <v>0.93100000000000005</v>
      </c>
      <c r="K68">
        <v>1</v>
      </c>
      <c r="M68" t="s">
        <v>15</v>
      </c>
      <c r="N68">
        <v>-0.4551</v>
      </c>
      <c r="O68">
        <v>-0.46066200000000002</v>
      </c>
      <c r="P68">
        <v>-5.5304430000000003E-3</v>
      </c>
      <c r="Q68">
        <v>4.9785999999999997E-2</v>
      </c>
      <c r="R68">
        <v>4.7400999999999999E-2</v>
      </c>
      <c r="S68">
        <v>-4.7922523000000002E-2</v>
      </c>
      <c r="T68">
        <v>1.2151297700000001E-2</v>
      </c>
      <c r="U68">
        <v>0.92300000000000004</v>
      </c>
      <c r="V68">
        <v>1</v>
      </c>
      <c r="X68" t="s">
        <v>15</v>
      </c>
      <c r="AI68" t="s">
        <v>15</v>
      </c>
      <c r="AS68" s="14"/>
    </row>
    <row r="69" spans="1:45" x14ac:dyDescent="0.25">
      <c r="A69" s="14"/>
      <c r="B69" t="s">
        <v>16</v>
      </c>
      <c r="C69">
        <v>-8.2500000000000004E-2</v>
      </c>
      <c r="D69">
        <v>-8.5709999999999995E-2</v>
      </c>
      <c r="E69">
        <v>-3.167918E-3</v>
      </c>
      <c r="F69">
        <v>5.4516000000000002E-2</v>
      </c>
      <c r="G69">
        <v>5.3904000000000001E-2</v>
      </c>
      <c r="H69">
        <v>-1.1221953E-2</v>
      </c>
      <c r="I69">
        <v>3.8379276599999998E-2</v>
      </c>
      <c r="J69">
        <v>0.94799999999999995</v>
      </c>
      <c r="K69">
        <v>0.37</v>
      </c>
      <c r="M69" t="s">
        <v>16</v>
      </c>
      <c r="N69">
        <v>-8.0399999999999999E-2</v>
      </c>
      <c r="O69">
        <v>-8.1030000000000005E-2</v>
      </c>
      <c r="P69">
        <v>-6.2306799999999995E-4</v>
      </c>
      <c r="Q69">
        <v>5.5864999999999998E-2</v>
      </c>
      <c r="R69">
        <v>5.4893999999999998E-2</v>
      </c>
      <c r="S69">
        <v>-1.7390870999999999E-2</v>
      </c>
      <c r="T69">
        <v>7.7489773999999999E-3</v>
      </c>
      <c r="U69">
        <v>0.94399999999999995</v>
      </c>
      <c r="V69">
        <v>0.33300000000000002</v>
      </c>
      <c r="X69" t="s">
        <v>16</v>
      </c>
      <c r="AI69" t="s">
        <v>16</v>
      </c>
      <c r="AS69" s="14"/>
    </row>
    <row r="70" spans="1:45" x14ac:dyDescent="0.25">
      <c r="A70" s="14"/>
      <c r="B70" t="s">
        <v>17</v>
      </c>
      <c r="C70">
        <v>-0.12590000000000001</v>
      </c>
      <c r="D70">
        <v>-0.125584</v>
      </c>
      <c r="E70">
        <v>3.6228459999999998E-4</v>
      </c>
      <c r="F70">
        <v>4.9049999999999996E-3</v>
      </c>
      <c r="G70">
        <v>4.8789999999999997E-3</v>
      </c>
      <c r="H70">
        <v>-5.324217E-3</v>
      </c>
      <c r="I70">
        <v>-2.8765010000000001E-3</v>
      </c>
      <c r="J70">
        <v>0.94799999999999995</v>
      </c>
      <c r="K70">
        <v>1</v>
      </c>
      <c r="M70" t="s">
        <v>17</v>
      </c>
      <c r="N70">
        <v>-0.1255</v>
      </c>
      <c r="O70">
        <v>-0.125307</v>
      </c>
      <c r="P70">
        <v>1.5727030000000001E-4</v>
      </c>
      <c r="Q70">
        <v>4.8269999999999997E-3</v>
      </c>
      <c r="R70">
        <v>4.7990000000000003E-3</v>
      </c>
      <c r="S70">
        <v>-5.6283230000000002E-3</v>
      </c>
      <c r="T70">
        <v>-1.2535020000000001E-3</v>
      </c>
      <c r="U70">
        <v>0.94699999999999995</v>
      </c>
      <c r="V70">
        <v>1</v>
      </c>
      <c r="X70" t="s">
        <v>17</v>
      </c>
      <c r="AI70" t="s">
        <v>17</v>
      </c>
      <c r="AS70" s="14"/>
    </row>
    <row r="71" spans="1:45" x14ac:dyDescent="0.25">
      <c r="A71" s="14"/>
      <c r="B71" t="s">
        <v>18</v>
      </c>
      <c r="C71">
        <v>-6.9999999999999999E-4</v>
      </c>
      <c r="D71">
        <v>-7.7099999999999998E-4</v>
      </c>
      <c r="E71">
        <v>-6.3095000000000005E-5</v>
      </c>
      <c r="F71">
        <v>2.5349999999999999E-3</v>
      </c>
      <c r="G71">
        <v>2.4580000000000001E-3</v>
      </c>
      <c r="H71">
        <v>-3.0406991000000001E-2</v>
      </c>
      <c r="I71">
        <v>8.9153712299999993E-2</v>
      </c>
      <c r="J71">
        <v>0.94399999999999995</v>
      </c>
      <c r="K71">
        <v>0.06</v>
      </c>
      <c r="M71" t="s">
        <v>18</v>
      </c>
      <c r="N71">
        <v>-1.1999999999999999E-3</v>
      </c>
      <c r="O71">
        <v>-1.189E-3</v>
      </c>
      <c r="P71">
        <v>3.1221593000000001E-6</v>
      </c>
      <c r="Q71">
        <v>2.5360000000000001E-3</v>
      </c>
      <c r="R71">
        <v>2.454E-3</v>
      </c>
      <c r="S71">
        <v>-3.2214462999999999E-2</v>
      </c>
      <c r="T71">
        <v>-2.6184590000000001E-3</v>
      </c>
      <c r="U71">
        <v>0.94499999999999995</v>
      </c>
      <c r="V71">
        <v>7.9000000000000001E-2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455" priority="33" stopIfTrue="1" operator="between">
      <formula>0.9365</formula>
      <formula>0.9635</formula>
    </cfRule>
    <cfRule type="cellIs" dxfId="454" priority="34" stopIfTrue="1" operator="between">
      <formula>0</formula>
      <formula>1</formula>
    </cfRule>
    <cfRule type="cellIs" dxfId="453" priority="35" stopIfTrue="1" operator="between">
      <formula>0.8</formula>
      <formula>0.9</formula>
    </cfRule>
    <cfRule type="cellIs" dxfId="452" priority="36" stopIfTrue="1" operator="between">
      <formula>0</formula>
      <formula>0.8</formula>
    </cfRule>
  </conditionalFormatting>
  <conditionalFormatting sqref="J15:J21">
    <cfRule type="cellIs" dxfId="451" priority="25" stopIfTrue="1" operator="between">
      <formula>0.9365</formula>
      <formula>0.9635</formula>
    </cfRule>
    <cfRule type="cellIs" dxfId="450" priority="26" stopIfTrue="1" operator="between">
      <formula>0</formula>
      <formula>1</formula>
    </cfRule>
    <cfRule type="cellIs" dxfId="449" priority="27" stopIfTrue="1" operator="between">
      <formula>0.8</formula>
      <formula>0.9</formula>
    </cfRule>
    <cfRule type="cellIs" dxfId="448" priority="28" stopIfTrue="1" operator="between">
      <formula>0</formula>
      <formula>0.8</formula>
    </cfRule>
  </conditionalFormatting>
  <conditionalFormatting sqref="J25:J31">
    <cfRule type="cellIs" dxfId="447" priority="29" stopIfTrue="1" operator="between">
      <formula>0.95</formula>
      <formula>1</formula>
    </cfRule>
    <cfRule type="cellIs" dxfId="446" priority="30" stopIfTrue="1" operator="between">
      <formula>0.9</formula>
      <formula>0.95</formula>
    </cfRule>
    <cfRule type="cellIs" dxfId="445" priority="31" stopIfTrue="1" operator="between">
      <formula>0.8</formula>
      <formula>0.9</formula>
    </cfRule>
    <cfRule type="cellIs" dxfId="444" priority="32" stopIfTrue="1" operator="between">
      <formula>0</formula>
      <formula>0.8</formula>
    </cfRule>
  </conditionalFormatting>
  <conditionalFormatting sqref="J35:J41">
    <cfRule type="cellIs" dxfId="443" priority="21" stopIfTrue="1" operator="between">
      <formula>0.9365</formula>
      <formula>0.9635</formula>
    </cfRule>
    <cfRule type="cellIs" dxfId="442" priority="22" stopIfTrue="1" operator="between">
      <formula>0</formula>
      <formula>1</formula>
    </cfRule>
    <cfRule type="cellIs" dxfId="441" priority="23" stopIfTrue="1" operator="between">
      <formula>0.8</formula>
      <formula>0.9</formula>
    </cfRule>
    <cfRule type="cellIs" dxfId="440" priority="24" stopIfTrue="1" operator="between">
      <formula>0</formula>
      <formula>0.8</formula>
    </cfRule>
  </conditionalFormatting>
  <conditionalFormatting sqref="J45:J51">
    <cfRule type="cellIs" dxfId="439" priority="19" stopIfTrue="1" operator="between">
      <formula>0.8</formula>
      <formula>0.9</formula>
    </cfRule>
    <cfRule type="cellIs" dxfId="438" priority="17" stopIfTrue="1" operator="between">
      <formula>0.9365</formula>
      <formula>0.9635</formula>
    </cfRule>
    <cfRule type="cellIs" dxfId="437" priority="18" stopIfTrue="1" operator="between">
      <formula>0</formula>
      <formula>1</formula>
    </cfRule>
    <cfRule type="cellIs" dxfId="436" priority="20" stopIfTrue="1" operator="between">
      <formula>0</formula>
      <formula>0.8</formula>
    </cfRule>
  </conditionalFormatting>
  <conditionalFormatting sqref="J55:J61">
    <cfRule type="cellIs" dxfId="435" priority="13" stopIfTrue="1" operator="between">
      <formula>0.9365</formula>
      <formula>0.9635</formula>
    </cfRule>
    <cfRule type="cellIs" dxfId="434" priority="14" stopIfTrue="1" operator="between">
      <formula>0</formula>
      <formula>1</formula>
    </cfRule>
    <cfRule type="cellIs" dxfId="433" priority="15" stopIfTrue="1" operator="between">
      <formula>0.8</formula>
      <formula>0.9</formula>
    </cfRule>
    <cfRule type="cellIs" dxfId="432" priority="16" stopIfTrue="1" operator="between">
      <formula>0</formula>
      <formula>0.8</formula>
    </cfRule>
  </conditionalFormatting>
  <conditionalFormatting sqref="J65:J71">
    <cfRule type="cellIs" dxfId="431" priority="9" stopIfTrue="1" operator="between">
      <formula>0.9365</formula>
      <formula>0.9635</formula>
    </cfRule>
    <cfRule type="cellIs" dxfId="430" priority="11" stopIfTrue="1" operator="between">
      <formula>0.8</formula>
      <formula>0.9</formula>
    </cfRule>
    <cfRule type="cellIs" dxfId="429" priority="12" stopIfTrue="1" operator="between">
      <formula>0</formula>
      <formula>0.8</formula>
    </cfRule>
    <cfRule type="cellIs" dxfId="428" priority="10" stopIfTrue="1" operator="between">
      <formula>0</formula>
      <formula>1</formula>
    </cfRule>
  </conditionalFormatting>
  <conditionalFormatting sqref="U5:U11">
    <cfRule type="cellIs" dxfId="427" priority="56" stopIfTrue="1" operator="between">
      <formula>0</formula>
      <formula>0.8</formula>
    </cfRule>
    <cfRule type="cellIs" dxfId="426" priority="55" stopIfTrue="1" operator="between">
      <formula>0.8</formula>
      <formula>0.9</formula>
    </cfRule>
    <cfRule type="cellIs" dxfId="425" priority="54" stopIfTrue="1" operator="between">
      <formula>0</formula>
      <formula>1</formula>
    </cfRule>
    <cfRule type="cellIs" dxfId="424" priority="53" stopIfTrue="1" operator="between">
      <formula>0.9365</formula>
      <formula>0.9635</formula>
    </cfRule>
  </conditionalFormatting>
  <conditionalFormatting sqref="U15:U21">
    <cfRule type="cellIs" dxfId="423" priority="46" stopIfTrue="1" operator="between">
      <formula>0</formula>
      <formula>1</formula>
    </cfRule>
    <cfRule type="cellIs" dxfId="422" priority="45" stopIfTrue="1" operator="between">
      <formula>0.9365</formula>
      <formula>0.9635</formula>
    </cfRule>
    <cfRule type="cellIs" dxfId="421" priority="47" stopIfTrue="1" operator="between">
      <formula>0.8</formula>
      <formula>0.9</formula>
    </cfRule>
    <cfRule type="cellIs" dxfId="420" priority="48" stopIfTrue="1" operator="between">
      <formula>0</formula>
      <formula>0.8</formula>
    </cfRule>
  </conditionalFormatting>
  <conditionalFormatting sqref="U25:U31">
    <cfRule type="cellIs" dxfId="419" priority="49" stopIfTrue="1" operator="between">
      <formula>0.95</formula>
      <formula>1</formula>
    </cfRule>
    <cfRule type="cellIs" dxfId="418" priority="50" stopIfTrue="1" operator="between">
      <formula>0.9</formula>
      <formula>0.95</formula>
    </cfRule>
    <cfRule type="cellIs" dxfId="417" priority="51" stopIfTrue="1" operator="between">
      <formula>0.8</formula>
      <formula>0.9</formula>
    </cfRule>
    <cfRule type="cellIs" dxfId="416" priority="52" stopIfTrue="1" operator="between">
      <formula>0</formula>
      <formula>0.8</formula>
    </cfRule>
  </conditionalFormatting>
  <conditionalFormatting sqref="U35:U41">
    <cfRule type="cellIs" dxfId="415" priority="41" stopIfTrue="1" operator="between">
      <formula>0.9365</formula>
      <formula>0.9635</formula>
    </cfRule>
    <cfRule type="cellIs" dxfId="414" priority="42" stopIfTrue="1" operator="between">
      <formula>0</formula>
      <formula>1</formula>
    </cfRule>
    <cfRule type="cellIs" dxfId="413" priority="43" stopIfTrue="1" operator="between">
      <formula>0.8</formula>
      <formula>0.9</formula>
    </cfRule>
    <cfRule type="cellIs" dxfId="412" priority="44" stopIfTrue="1" operator="between">
      <formula>0</formula>
      <formula>0.8</formula>
    </cfRule>
  </conditionalFormatting>
  <conditionalFormatting sqref="U45:U51">
    <cfRule type="cellIs" dxfId="411" priority="38" stopIfTrue="1" operator="between">
      <formula>0</formula>
      <formula>1</formula>
    </cfRule>
    <cfRule type="cellIs" dxfId="410" priority="37" stopIfTrue="1" operator="between">
      <formula>0.9365</formula>
      <formula>0.9635</formula>
    </cfRule>
    <cfRule type="cellIs" dxfId="409" priority="39" stopIfTrue="1" operator="between">
      <formula>0.8</formula>
      <formula>0.9</formula>
    </cfRule>
    <cfRule type="cellIs" dxfId="408" priority="40" stopIfTrue="1" operator="between">
      <formula>0</formula>
      <formula>0.8</formula>
    </cfRule>
  </conditionalFormatting>
  <conditionalFormatting sqref="U55:U61">
    <cfRule type="cellIs" dxfId="407" priority="2" stopIfTrue="1" operator="between">
      <formula>0</formula>
      <formula>1</formula>
    </cfRule>
    <cfRule type="cellIs" dxfId="406" priority="3" stopIfTrue="1" operator="between">
      <formula>0.8</formula>
      <formula>0.9</formula>
    </cfRule>
    <cfRule type="cellIs" dxfId="405" priority="4" stopIfTrue="1" operator="between">
      <formula>0</formula>
      <formula>0.8</formula>
    </cfRule>
    <cfRule type="cellIs" dxfId="404" priority="1" stopIfTrue="1" operator="between">
      <formula>0.9365</formula>
      <formula>0.9635</formula>
    </cfRule>
  </conditionalFormatting>
  <conditionalFormatting sqref="U65:U71">
    <cfRule type="cellIs" dxfId="403" priority="5" stopIfTrue="1" operator="between">
      <formula>0.9365</formula>
      <formula>0.9635</formula>
    </cfRule>
    <cfRule type="cellIs" dxfId="402" priority="8" stopIfTrue="1" operator="between">
      <formula>0</formula>
      <formula>0.8</formula>
    </cfRule>
    <cfRule type="cellIs" dxfId="401" priority="7" stopIfTrue="1" operator="between">
      <formula>0.8</formula>
      <formula>0.9</formula>
    </cfRule>
    <cfRule type="cellIs" dxfId="400" priority="6" stopIfTrue="1" operator="between">
      <formula>0</formula>
      <formula>1</formula>
    </cfRule>
  </conditionalFormatting>
  <conditionalFormatting sqref="AF5:AF11">
    <cfRule type="cellIs" dxfId="399" priority="221" stopIfTrue="1" operator="between">
      <formula>0.9365</formula>
      <formula>0.9635</formula>
    </cfRule>
    <cfRule type="cellIs" dxfId="398" priority="222" stopIfTrue="1" operator="between">
      <formula>0.9095</formula>
      <formula>0.9905</formula>
    </cfRule>
    <cfRule type="cellIs" dxfId="397" priority="223" stopIfTrue="1" operator="between">
      <formula>0</formula>
      <formula>1</formula>
    </cfRule>
    <cfRule type="cellIs" dxfId="396" priority="224" stopIfTrue="1" operator="between">
      <formula>0</formula>
      <formula>0.8</formula>
    </cfRule>
  </conditionalFormatting>
  <conditionalFormatting sqref="AF15:AF21">
    <cfRule type="cellIs" dxfId="395" priority="225" stopIfTrue="1" operator="between">
      <formula>0.9365</formula>
      <formula>0.9635</formula>
    </cfRule>
    <cfRule type="cellIs" dxfId="394" priority="226" stopIfTrue="1" operator="between">
      <formula>0.9095</formula>
      <formula>0.9905</formula>
    </cfRule>
    <cfRule type="cellIs" dxfId="393" priority="227" stopIfTrue="1" operator="between">
      <formula>0</formula>
      <formula>1</formula>
    </cfRule>
    <cfRule type="cellIs" dxfId="392" priority="228" stopIfTrue="1" operator="between">
      <formula>0</formula>
      <formula>0.8</formula>
    </cfRule>
  </conditionalFormatting>
  <conditionalFormatting sqref="AF25:AF31">
    <cfRule type="cellIs" dxfId="391" priority="248" stopIfTrue="1" operator="between">
      <formula>0</formula>
      <formula>0.8</formula>
    </cfRule>
    <cfRule type="cellIs" dxfId="390" priority="245" stopIfTrue="1" operator="between">
      <formula>0.95</formula>
      <formula>1</formula>
    </cfRule>
    <cfRule type="cellIs" dxfId="389" priority="246" stopIfTrue="1" operator="between">
      <formula>0.9</formula>
      <formula>0.95</formula>
    </cfRule>
    <cfRule type="cellIs" dxfId="388" priority="247" stopIfTrue="1" operator="between">
      <formula>0.8</formula>
      <formula>0.9</formula>
    </cfRule>
  </conditionalFormatting>
  <conditionalFormatting sqref="AF35:AF41">
    <cfRule type="cellIs" dxfId="387" priority="229" stopIfTrue="1" operator="between">
      <formula>0.9365</formula>
      <formula>0.9635</formula>
    </cfRule>
    <cfRule type="cellIs" dxfId="386" priority="230" stopIfTrue="1" operator="between">
      <formula>0.9095</formula>
      <formula>0.9905</formula>
    </cfRule>
    <cfRule type="cellIs" dxfId="385" priority="231" stopIfTrue="1" operator="between">
      <formula>0</formula>
      <formula>1</formula>
    </cfRule>
    <cfRule type="cellIs" dxfId="384" priority="232" stopIfTrue="1" operator="between">
      <formula>0</formula>
      <formula>0.8</formula>
    </cfRule>
  </conditionalFormatting>
  <conditionalFormatting sqref="AF45:AF51">
    <cfRule type="cellIs" dxfId="383" priority="236" stopIfTrue="1" operator="between">
      <formula>0</formula>
      <formula>0.8</formula>
    </cfRule>
    <cfRule type="cellIs" dxfId="382" priority="234" stopIfTrue="1" operator="between">
      <formula>0.9095</formula>
      <formula>0.9905</formula>
    </cfRule>
    <cfRule type="cellIs" dxfId="381" priority="233" stopIfTrue="1" operator="between">
      <formula>0.9365</formula>
      <formula>0.9635</formula>
    </cfRule>
    <cfRule type="cellIs" dxfId="380" priority="235" stopIfTrue="1" operator="between">
      <formula>0</formula>
      <formula>1</formula>
    </cfRule>
  </conditionalFormatting>
  <conditionalFormatting sqref="AF55:AF61">
    <cfRule type="cellIs" dxfId="379" priority="241" stopIfTrue="1" operator="between">
      <formula>0.9365</formula>
      <formula>0.9635</formula>
    </cfRule>
    <cfRule type="cellIs" dxfId="378" priority="242" stopIfTrue="1" operator="between">
      <formula>0.9095</formula>
      <formula>0.9905</formula>
    </cfRule>
    <cfRule type="cellIs" dxfId="377" priority="243" stopIfTrue="1" operator="between">
      <formula>0</formula>
      <formula>1</formula>
    </cfRule>
    <cfRule type="cellIs" dxfId="376" priority="244" stopIfTrue="1" operator="between">
      <formula>0</formula>
      <formula>0.8</formula>
    </cfRule>
  </conditionalFormatting>
  <conditionalFormatting sqref="AF65:AF71">
    <cfRule type="cellIs" dxfId="375" priority="238" stopIfTrue="1" operator="between">
      <formula>0.9095</formula>
      <formula>0.9905</formula>
    </cfRule>
    <cfRule type="cellIs" dxfId="374" priority="237" stopIfTrue="1" operator="between">
      <formula>0.9365</formula>
      <formula>0.9635</formula>
    </cfRule>
    <cfRule type="cellIs" dxfId="373" priority="239" stopIfTrue="1" operator="between">
      <formula>0</formula>
      <formula>1</formula>
    </cfRule>
    <cfRule type="cellIs" dxfId="372" priority="240" stopIfTrue="1" operator="between">
      <formula>0</formula>
      <formula>0.8</formula>
    </cfRule>
  </conditionalFormatting>
  <conditionalFormatting sqref="AQ5:AQ11">
    <cfRule type="cellIs" dxfId="371" priority="193" stopIfTrue="1" operator="between">
      <formula>0.9365</formula>
      <formula>0.9635</formula>
    </cfRule>
    <cfRule type="cellIs" dxfId="370" priority="194" stopIfTrue="1" operator="between">
      <formula>0.9095</formula>
      <formula>0.9905</formula>
    </cfRule>
    <cfRule type="cellIs" dxfId="369" priority="195" stopIfTrue="1" operator="between">
      <formula>0</formula>
      <formula>1</formula>
    </cfRule>
    <cfRule type="cellIs" dxfId="368" priority="196" stopIfTrue="1" operator="between">
      <formula>0</formula>
      <formula>0.8</formula>
    </cfRule>
  </conditionalFormatting>
  <conditionalFormatting sqref="AQ15:AQ21">
    <cfRule type="cellIs" dxfId="367" priority="197" stopIfTrue="1" operator="between">
      <formula>0.9365</formula>
      <formula>0.9635</formula>
    </cfRule>
    <cfRule type="cellIs" dxfId="366" priority="198" stopIfTrue="1" operator="between">
      <formula>0.9095</formula>
      <formula>0.9905</formula>
    </cfRule>
    <cfRule type="cellIs" dxfId="365" priority="199" stopIfTrue="1" operator="between">
      <formula>0</formula>
      <formula>1</formula>
    </cfRule>
    <cfRule type="cellIs" dxfId="364" priority="200" stopIfTrue="1" operator="between">
      <formula>0</formula>
      <formula>0.8</formula>
    </cfRule>
  </conditionalFormatting>
  <conditionalFormatting sqref="AQ25:AQ31">
    <cfRule type="cellIs" dxfId="363" priority="220" stopIfTrue="1" operator="between">
      <formula>0</formula>
      <formula>0.8</formula>
    </cfRule>
    <cfRule type="cellIs" dxfId="362" priority="217" stopIfTrue="1" operator="between">
      <formula>0.95</formula>
      <formula>1</formula>
    </cfRule>
    <cfRule type="cellIs" dxfId="361" priority="218" stopIfTrue="1" operator="between">
      <formula>0.9</formula>
      <formula>0.95</formula>
    </cfRule>
    <cfRule type="cellIs" dxfId="360" priority="219" stopIfTrue="1" operator="between">
      <formula>0.8</formula>
      <formula>0.9</formula>
    </cfRule>
  </conditionalFormatting>
  <conditionalFormatting sqref="AQ35:AQ41">
    <cfRule type="cellIs" dxfId="359" priority="201" stopIfTrue="1" operator="between">
      <formula>0.9365</formula>
      <formula>0.9635</formula>
    </cfRule>
    <cfRule type="cellIs" dxfId="358" priority="202" stopIfTrue="1" operator="between">
      <formula>0.9095</formula>
      <formula>0.9905</formula>
    </cfRule>
    <cfRule type="cellIs" dxfId="357" priority="203" stopIfTrue="1" operator="between">
      <formula>0</formula>
      <formula>1</formula>
    </cfRule>
    <cfRule type="cellIs" dxfId="356" priority="204" stopIfTrue="1" operator="between">
      <formula>0</formula>
      <formula>0.8</formula>
    </cfRule>
  </conditionalFormatting>
  <conditionalFormatting sqref="AQ45:AQ51">
    <cfRule type="cellIs" dxfId="355" priority="207" stopIfTrue="1" operator="between">
      <formula>0</formula>
      <formula>1</formula>
    </cfRule>
    <cfRule type="cellIs" dxfId="354" priority="208" stopIfTrue="1" operator="between">
      <formula>0</formula>
      <formula>0.8</formula>
    </cfRule>
    <cfRule type="cellIs" dxfId="353" priority="205" stopIfTrue="1" operator="between">
      <formula>0.9365</formula>
      <formula>0.9635</formula>
    </cfRule>
    <cfRule type="cellIs" dxfId="352" priority="206" stopIfTrue="1" operator="between">
      <formula>0.9095</formula>
      <formula>0.9905</formula>
    </cfRule>
  </conditionalFormatting>
  <conditionalFormatting sqref="AQ55:AQ61">
    <cfRule type="cellIs" dxfId="351" priority="215" stopIfTrue="1" operator="between">
      <formula>0</formula>
      <formula>1</formula>
    </cfRule>
    <cfRule type="cellIs" dxfId="350" priority="214" stopIfTrue="1" operator="between">
      <formula>0.9095</formula>
      <formula>0.9905</formula>
    </cfRule>
    <cfRule type="cellIs" dxfId="349" priority="216" stopIfTrue="1" operator="between">
      <formula>0</formula>
      <formula>0.8</formula>
    </cfRule>
    <cfRule type="cellIs" dxfId="348" priority="213" stopIfTrue="1" operator="between">
      <formula>0.9365</formula>
      <formula>0.9635</formula>
    </cfRule>
  </conditionalFormatting>
  <conditionalFormatting sqref="AQ65:AQ71">
    <cfRule type="cellIs" dxfId="347" priority="209" stopIfTrue="1" operator="between">
      <formula>0.9365</formula>
      <formula>0.9635</formula>
    </cfRule>
    <cfRule type="cellIs" dxfId="346" priority="210" stopIfTrue="1" operator="between">
      <formula>0.9095</formula>
      <formula>0.9905</formula>
    </cfRule>
    <cfRule type="cellIs" dxfId="345" priority="211" stopIfTrue="1" operator="between">
      <formula>0</formula>
      <formula>1</formula>
    </cfRule>
    <cfRule type="cellIs" dxfId="344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D8E6-61A6-4AC0-BCDE-A4B0C7D6F4FB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438</v>
      </c>
      <c r="J3" s="12" t="str">
        <f>INDEX('Method Codes'!$B:$B, MATCH(B3, 'Method Codes'!$I:$I,0))</f>
        <v>IND</v>
      </c>
      <c r="K3" s="12" t="str">
        <f>INDEX('Method Codes'!$H:$H, MATCH(B3, 'Method Codes'!$I:$I,0))</f>
        <v>1F</v>
      </c>
      <c r="M3" s="1" t="s">
        <v>504</v>
      </c>
      <c r="U3" s="12" t="str">
        <f>INDEX('Method Codes'!$B:$B, MATCH(M3, 'Method Codes'!$I:$I,0))</f>
        <v>EXCH</v>
      </c>
      <c r="V3" s="12" t="str">
        <f>INDEX('Method Codes'!$H:$H, MATCH(M3, 'Method Codes'!$I:$I,0))</f>
        <v>1F</v>
      </c>
      <c r="X3" s="1" t="s">
        <v>587</v>
      </c>
      <c r="AI3" s="1" t="s">
        <v>588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2.9592619999999998</v>
      </c>
      <c r="E5">
        <v>-0.17612868000000001</v>
      </c>
      <c r="F5">
        <v>0.18088399999999999</v>
      </c>
      <c r="G5">
        <v>0.17891699999999999</v>
      </c>
      <c r="H5">
        <v>-1.0873977E-2</v>
      </c>
      <c r="I5">
        <v>-5.6174390999999997E-2</v>
      </c>
      <c r="J5">
        <v>0.83899999999999997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">
        <v>2.9814820000000002</v>
      </c>
      <c r="P5">
        <v>-0.172406278</v>
      </c>
      <c r="Q5">
        <v>0.179843</v>
      </c>
      <c r="R5">
        <v>0.180754</v>
      </c>
      <c r="S5">
        <v>5.0629315999999999E-3</v>
      </c>
      <c r="T5">
        <v>-5.4664677000000002E-2</v>
      </c>
      <c r="U5">
        <v>0.85799999999999998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25">
      <c r="A6" s="14"/>
      <c r="B6" t="s">
        <v>13</v>
      </c>
      <c r="C6">
        <v>-0.44119999999999998</v>
      </c>
      <c r="D6">
        <v>-0.39801199999999998</v>
      </c>
      <c r="E6">
        <v>4.3194704399999999E-2</v>
      </c>
      <c r="F6">
        <v>6.8894999999999998E-2</v>
      </c>
      <c r="G6">
        <v>6.9377999999999995E-2</v>
      </c>
      <c r="H6">
        <v>7.0223713E-3</v>
      </c>
      <c r="I6">
        <v>-9.7901381999999995E-2</v>
      </c>
      <c r="J6">
        <v>0.90200000000000002</v>
      </c>
      <c r="K6">
        <v>0</v>
      </c>
      <c r="M6" t="s">
        <v>13</v>
      </c>
      <c r="N6">
        <v>-0.434</v>
      </c>
      <c r="O6">
        <v>-0.38847799999999999</v>
      </c>
      <c r="P6">
        <v>4.5482241299999997E-2</v>
      </c>
      <c r="Q6">
        <v>6.8641999999999995E-2</v>
      </c>
      <c r="R6">
        <v>7.0175000000000001E-2</v>
      </c>
      <c r="S6">
        <v>2.23403803E-2</v>
      </c>
      <c r="T6">
        <v>-0.104807443</v>
      </c>
      <c r="U6">
        <v>0.89900000000000002</v>
      </c>
      <c r="V6">
        <v>0</v>
      </c>
      <c r="X6" t="s">
        <v>13</v>
      </c>
      <c r="AI6" t="s">
        <v>13</v>
      </c>
      <c r="AS6" s="14"/>
    </row>
    <row r="7" spans="1:47" x14ac:dyDescent="0.25">
      <c r="A7" s="14"/>
      <c r="B7" t="s">
        <v>14</v>
      </c>
      <c r="C7">
        <v>-7.3000000000000001E-3</v>
      </c>
      <c r="D7">
        <v>-1.5594E-2</v>
      </c>
      <c r="E7">
        <v>-8.2795430000000003E-3</v>
      </c>
      <c r="F7">
        <v>3.5694999999999998E-2</v>
      </c>
      <c r="G7">
        <v>3.9579000000000003E-2</v>
      </c>
      <c r="H7">
        <v>0.10880025359999999</v>
      </c>
      <c r="I7">
        <v>1.1320178491999999</v>
      </c>
      <c r="J7">
        <v>0.96499999999999997</v>
      </c>
      <c r="K7">
        <v>0</v>
      </c>
      <c r="M7" t="s">
        <v>14</v>
      </c>
      <c r="N7">
        <v>-7.6E-3</v>
      </c>
      <c r="O7">
        <v>-1.5272000000000001E-2</v>
      </c>
      <c r="P7">
        <v>-7.653679E-3</v>
      </c>
      <c r="Q7">
        <v>3.5672000000000002E-2</v>
      </c>
      <c r="R7">
        <v>4.0207E-2</v>
      </c>
      <c r="S7">
        <v>0.12712539119999999</v>
      </c>
      <c r="T7">
        <v>1.0046821142</v>
      </c>
      <c r="U7">
        <v>0.96899999999999997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25">
      <c r="A8" s="14"/>
      <c r="B8" t="s">
        <v>15</v>
      </c>
      <c r="C8">
        <v>-0.45419999999999999</v>
      </c>
      <c r="D8">
        <v>-0.429008</v>
      </c>
      <c r="E8">
        <v>2.51798458E-2</v>
      </c>
      <c r="F8">
        <v>4.2603000000000002E-2</v>
      </c>
      <c r="G8">
        <v>4.2816E-2</v>
      </c>
      <c r="H8">
        <v>4.9932346999999998E-3</v>
      </c>
      <c r="I8">
        <v>-5.5439251000000002E-2</v>
      </c>
      <c r="J8">
        <v>0.91400000000000003</v>
      </c>
      <c r="K8">
        <v>0</v>
      </c>
      <c r="M8" t="s">
        <v>15</v>
      </c>
      <c r="N8">
        <v>-0.4551</v>
      </c>
      <c r="O8">
        <v>-0.43194399999999999</v>
      </c>
      <c r="P8">
        <v>2.3187460900000002E-2</v>
      </c>
      <c r="Q8">
        <v>4.2826999999999997E-2</v>
      </c>
      <c r="R8">
        <v>4.3596000000000003E-2</v>
      </c>
      <c r="S8">
        <v>1.7965927499999999E-2</v>
      </c>
      <c r="T8">
        <v>-5.0946683999999999E-2</v>
      </c>
      <c r="U8">
        <v>0.93400000000000005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25">
      <c r="A9" s="14"/>
      <c r="B9" t="s">
        <v>16</v>
      </c>
      <c r="C9">
        <v>-8.2500000000000004E-2</v>
      </c>
      <c r="D9">
        <v>-0.10448</v>
      </c>
      <c r="E9">
        <v>-2.1937137999999998E-2</v>
      </c>
      <c r="F9">
        <v>4.6195E-2</v>
      </c>
      <c r="G9">
        <v>5.0931999999999998E-2</v>
      </c>
      <c r="H9">
        <v>0.102554241</v>
      </c>
      <c r="I9">
        <v>0.26576807720000001</v>
      </c>
      <c r="J9">
        <v>0.95399999999999996</v>
      </c>
      <c r="K9">
        <v>0</v>
      </c>
      <c r="M9" t="s">
        <v>16</v>
      </c>
      <c r="N9">
        <v>-8.0399999999999999E-2</v>
      </c>
      <c r="O9">
        <v>-0.100892</v>
      </c>
      <c r="P9">
        <v>-2.0485189000000001E-2</v>
      </c>
      <c r="Q9">
        <v>4.6417E-2</v>
      </c>
      <c r="R9">
        <v>5.1520999999999997E-2</v>
      </c>
      <c r="S9">
        <v>0.1099513976</v>
      </c>
      <c r="T9">
        <v>0.2547701973</v>
      </c>
      <c r="U9">
        <v>0.95299999999999996</v>
      </c>
      <c r="V9">
        <v>0</v>
      </c>
      <c r="X9" t="s">
        <v>16</v>
      </c>
      <c r="AI9" t="s">
        <v>16</v>
      </c>
      <c r="AS9" s="14"/>
    </row>
    <row r="10" spans="1:47" x14ac:dyDescent="0.25">
      <c r="A10" s="14"/>
      <c r="B10" t="s">
        <v>17</v>
      </c>
      <c r="C10">
        <v>-0.12590000000000001</v>
      </c>
      <c r="D10">
        <v>-0.135907</v>
      </c>
      <c r="E10">
        <v>-9.9605059999999992E-3</v>
      </c>
      <c r="F10">
        <v>4.3940000000000003E-3</v>
      </c>
      <c r="G10">
        <v>4.4770000000000001E-3</v>
      </c>
      <c r="H10">
        <v>1.8817608E-2</v>
      </c>
      <c r="I10">
        <v>7.9085346900000006E-2</v>
      </c>
      <c r="J10">
        <v>0.46200000000000002</v>
      </c>
      <c r="K10">
        <v>0</v>
      </c>
      <c r="M10" t="s">
        <v>17</v>
      </c>
      <c r="N10">
        <v>-0.1255</v>
      </c>
      <c r="O10">
        <v>-0.13546900000000001</v>
      </c>
      <c r="P10">
        <v>-1.0004406E-2</v>
      </c>
      <c r="Q10">
        <v>4.4190000000000002E-3</v>
      </c>
      <c r="R10">
        <v>4.4929999999999996E-3</v>
      </c>
      <c r="S10">
        <v>1.6687961300000002E-2</v>
      </c>
      <c r="T10">
        <v>7.9738779400000001E-2</v>
      </c>
      <c r="U10">
        <v>0.44800000000000001</v>
      </c>
      <c r="V10">
        <v>0</v>
      </c>
      <c r="X10" t="s">
        <v>17</v>
      </c>
      <c r="AI10" t="s">
        <v>17</v>
      </c>
      <c r="AS10" s="14"/>
    </row>
    <row r="11" spans="1:47" x14ac:dyDescent="0.25">
      <c r="A11" s="14"/>
      <c r="B11" t="s">
        <v>18</v>
      </c>
      <c r="C11">
        <v>-6.9999999999999999E-4</v>
      </c>
      <c r="D11">
        <v>1.3300000000000001E-4</v>
      </c>
      <c r="E11">
        <v>8.4077550000000005E-4</v>
      </c>
      <c r="F11">
        <v>2.1320000000000002E-3</v>
      </c>
      <c r="G11">
        <v>2.2539999999999999E-3</v>
      </c>
      <c r="H11">
        <v>5.7379098500000003E-2</v>
      </c>
      <c r="I11">
        <v>-1.188019967</v>
      </c>
      <c r="J11">
        <v>0.95099999999999996</v>
      </c>
      <c r="K11">
        <v>0</v>
      </c>
      <c r="M11" t="s">
        <v>18</v>
      </c>
      <c r="N11">
        <v>-1.1999999999999999E-3</v>
      </c>
      <c r="O11">
        <v>-3.0499999999999999E-4</v>
      </c>
      <c r="P11">
        <v>8.8746759999999995E-4</v>
      </c>
      <c r="Q11">
        <v>2.062E-3</v>
      </c>
      <c r="R11">
        <v>2.2399999999999998E-3</v>
      </c>
      <c r="S11">
        <v>8.6087549099999994E-2</v>
      </c>
      <c r="T11">
        <v>-0.74429175999999997</v>
      </c>
      <c r="U11">
        <v>0.95399999999999996</v>
      </c>
      <c r="V11">
        <v>0</v>
      </c>
      <c r="X11" t="s">
        <v>18</v>
      </c>
      <c r="AI11" t="s">
        <v>18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452</v>
      </c>
      <c r="J13" s="12" t="str">
        <f>INDEX('Method Codes'!$B:$B, MATCH(B13, 'Method Codes'!$I:$I,0))</f>
        <v>IND</v>
      </c>
      <c r="K13" s="12" t="str">
        <f>INDEX('Method Codes'!H:H, MATCH(B13, 'Method Codes'!I:I,0))</f>
        <v>2J</v>
      </c>
      <c r="M13" s="1" t="s">
        <v>515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2J</v>
      </c>
      <c r="X13" s="1" t="s">
        <v>589</v>
      </c>
      <c r="AI13" s="1" t="s">
        <v>590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2.8617789999999999</v>
      </c>
      <c r="E15">
        <v>-0.27361184100000002</v>
      </c>
      <c r="F15">
        <v>0.17336299999999999</v>
      </c>
      <c r="G15">
        <v>0.168655</v>
      </c>
      <c r="H15">
        <v>-2.7153525000000001E-2</v>
      </c>
      <c r="I15">
        <v>-8.7265620000000002E-2</v>
      </c>
      <c r="J15">
        <v>0.60899999999999999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15">
        <v>2.8935010000000001</v>
      </c>
      <c r="P15">
        <v>-0.26038685499999997</v>
      </c>
      <c r="Q15">
        <v>0.17016899999999999</v>
      </c>
      <c r="R15">
        <v>0.16570199999999999</v>
      </c>
      <c r="S15">
        <v>-2.6255193E-2</v>
      </c>
      <c r="T15">
        <v>-8.2560587000000005E-2</v>
      </c>
      <c r="U15">
        <v>0.625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25">
      <c r="A16" s="14"/>
      <c r="B16" t="s">
        <v>13</v>
      </c>
      <c r="C16">
        <v>-0.44119999999999998</v>
      </c>
      <c r="D16">
        <v>-0.41929899999999998</v>
      </c>
      <c r="E16">
        <v>2.1907465899999999E-2</v>
      </c>
      <c r="F16">
        <v>6.6741999999999996E-2</v>
      </c>
      <c r="G16">
        <v>6.4649999999999999E-2</v>
      </c>
      <c r="H16">
        <v>-3.1341247000000003E-2</v>
      </c>
      <c r="I16">
        <v>-4.9653568000000002E-2</v>
      </c>
      <c r="J16">
        <v>0.93899999999999995</v>
      </c>
      <c r="K16">
        <v>1</v>
      </c>
      <c r="M16" t="s">
        <v>13</v>
      </c>
      <c r="N16">
        <v>-0.434</v>
      </c>
      <c r="O16">
        <v>-0.41435899999999998</v>
      </c>
      <c r="P16">
        <v>1.96013232E-2</v>
      </c>
      <c r="Q16">
        <v>6.5706000000000001E-2</v>
      </c>
      <c r="R16">
        <v>6.4047999999999994E-2</v>
      </c>
      <c r="S16">
        <v>-2.5231282000000001E-2</v>
      </c>
      <c r="T16">
        <v>-4.5168499000000001E-2</v>
      </c>
      <c r="U16">
        <v>0.93500000000000005</v>
      </c>
      <c r="V16">
        <v>1</v>
      </c>
      <c r="X16" t="s">
        <v>13</v>
      </c>
      <c r="AI16" t="s">
        <v>13</v>
      </c>
      <c r="AS16" s="14"/>
    </row>
    <row r="17" spans="1:47" x14ac:dyDescent="0.25">
      <c r="A17" s="14"/>
      <c r="B17" t="s">
        <v>14</v>
      </c>
      <c r="C17">
        <v>-7.3000000000000001E-3</v>
      </c>
      <c r="D17">
        <v>-8.8599999999999998E-3</v>
      </c>
      <c r="E17">
        <v>-1.5462259999999999E-3</v>
      </c>
      <c r="F17">
        <v>3.8212999999999997E-2</v>
      </c>
      <c r="G17">
        <v>3.9114000000000003E-2</v>
      </c>
      <c r="H17">
        <v>2.35800052E-2</v>
      </c>
      <c r="I17">
        <v>0.21140722319999999</v>
      </c>
      <c r="J17">
        <v>0.95699999999999996</v>
      </c>
      <c r="K17">
        <v>0.05</v>
      </c>
      <c r="M17" t="s">
        <v>14</v>
      </c>
      <c r="N17">
        <v>-7.6E-3</v>
      </c>
      <c r="O17">
        <v>-7.1739999999999998E-3</v>
      </c>
      <c r="P17">
        <v>4.442432E-4</v>
      </c>
      <c r="Q17">
        <v>3.8261000000000003E-2</v>
      </c>
      <c r="R17">
        <v>3.9005999999999999E-2</v>
      </c>
      <c r="S17">
        <v>1.94824462E-2</v>
      </c>
      <c r="T17">
        <v>-5.8314853999999999E-2</v>
      </c>
      <c r="U17">
        <v>0.95599999999999996</v>
      </c>
      <c r="V17">
        <v>4.5999999999999999E-2</v>
      </c>
      <c r="X17" t="s">
        <v>14</v>
      </c>
      <c r="AI17" t="s">
        <v>14</v>
      </c>
      <c r="AS17" s="14"/>
    </row>
    <row r="18" spans="1:47" x14ac:dyDescent="0.25">
      <c r="A18" s="14"/>
      <c r="B18" t="s">
        <v>15</v>
      </c>
      <c r="C18">
        <v>-0.45419999999999999</v>
      </c>
      <c r="D18">
        <v>-0.397754</v>
      </c>
      <c r="E18">
        <v>5.6433874000000002E-2</v>
      </c>
      <c r="F18">
        <v>4.0785000000000002E-2</v>
      </c>
      <c r="G18">
        <v>4.0468999999999998E-2</v>
      </c>
      <c r="H18">
        <v>-7.7545440000000004E-3</v>
      </c>
      <c r="I18">
        <v>-0.12425222</v>
      </c>
      <c r="J18">
        <v>0.69499999999999995</v>
      </c>
      <c r="K18">
        <v>1</v>
      </c>
      <c r="M18" t="s">
        <v>15</v>
      </c>
      <c r="N18">
        <v>-0.4551</v>
      </c>
      <c r="O18">
        <v>-0.40143200000000001</v>
      </c>
      <c r="P18">
        <v>5.3700006600000003E-2</v>
      </c>
      <c r="Q18">
        <v>4.0412999999999998E-2</v>
      </c>
      <c r="R18">
        <v>4.0157999999999999E-2</v>
      </c>
      <c r="S18">
        <v>-6.312336E-3</v>
      </c>
      <c r="T18">
        <v>-0.11798779099999999</v>
      </c>
      <c r="U18">
        <v>0.71599999999999997</v>
      </c>
      <c r="V18">
        <v>1</v>
      </c>
      <c r="X18" t="s">
        <v>15</v>
      </c>
      <c r="AI18" t="s">
        <v>15</v>
      </c>
      <c r="AS18" s="14"/>
    </row>
    <row r="19" spans="1:47" x14ac:dyDescent="0.25">
      <c r="A19" s="14"/>
      <c r="B19" t="s">
        <v>16</v>
      </c>
      <c r="C19">
        <v>-8.2500000000000004E-2</v>
      </c>
      <c r="D19">
        <v>-0.134385</v>
      </c>
      <c r="E19">
        <v>-5.1842922E-2</v>
      </c>
      <c r="F19">
        <v>5.0292000000000003E-2</v>
      </c>
      <c r="G19">
        <v>5.1213000000000002E-2</v>
      </c>
      <c r="H19">
        <v>1.83135613E-2</v>
      </c>
      <c r="I19">
        <v>0.62807616109999997</v>
      </c>
      <c r="J19">
        <v>0.83399999999999996</v>
      </c>
      <c r="K19">
        <v>0.75800000000000001</v>
      </c>
      <c r="M19" t="s">
        <v>16</v>
      </c>
      <c r="N19">
        <v>-8.0399999999999999E-2</v>
      </c>
      <c r="O19">
        <v>-0.13131000000000001</v>
      </c>
      <c r="P19">
        <v>-5.0903087999999999E-2</v>
      </c>
      <c r="Q19">
        <v>5.0317000000000001E-2</v>
      </c>
      <c r="R19">
        <v>5.0610000000000002E-2</v>
      </c>
      <c r="S19">
        <v>5.8250341000000002E-3</v>
      </c>
      <c r="T19">
        <v>0.63307152889999996</v>
      </c>
      <c r="U19">
        <v>0.83099999999999996</v>
      </c>
      <c r="V19">
        <v>0.73499999999999999</v>
      </c>
      <c r="X19" t="s">
        <v>16</v>
      </c>
      <c r="AI19" t="s">
        <v>16</v>
      </c>
      <c r="AS19" s="14"/>
    </row>
    <row r="20" spans="1:47" x14ac:dyDescent="0.25">
      <c r="A20" s="14"/>
      <c r="B20" t="s">
        <v>17</v>
      </c>
      <c r="C20">
        <v>-0.12590000000000001</v>
      </c>
      <c r="D20">
        <v>-0.13864199999999999</v>
      </c>
      <c r="E20">
        <v>-1.2695863999999999E-2</v>
      </c>
      <c r="F20">
        <v>4.3420000000000004E-3</v>
      </c>
      <c r="G20">
        <v>4.2810000000000001E-3</v>
      </c>
      <c r="H20">
        <v>-1.4065663000000001E-2</v>
      </c>
      <c r="I20">
        <v>0.1008037963</v>
      </c>
      <c r="J20">
        <v>0.17299999999999999</v>
      </c>
      <c r="K20">
        <v>1</v>
      </c>
      <c r="M20" t="s">
        <v>17</v>
      </c>
      <c r="N20">
        <v>-0.1255</v>
      </c>
      <c r="O20">
        <v>-0.13670599999999999</v>
      </c>
      <c r="P20">
        <v>-1.1241421E-2</v>
      </c>
      <c r="Q20">
        <v>4.2810000000000001E-3</v>
      </c>
      <c r="R20">
        <v>4.2220000000000001E-3</v>
      </c>
      <c r="S20">
        <v>-1.3607717E-2</v>
      </c>
      <c r="T20">
        <v>8.9598243499999994E-2</v>
      </c>
      <c r="U20">
        <v>0.255</v>
      </c>
      <c r="V20">
        <v>1</v>
      </c>
      <c r="X20" t="s">
        <v>17</v>
      </c>
      <c r="AI20" t="s">
        <v>17</v>
      </c>
      <c r="AS20" s="14"/>
    </row>
    <row r="21" spans="1:47" x14ac:dyDescent="0.25">
      <c r="A21" s="14"/>
      <c r="B21" t="s">
        <v>18</v>
      </c>
      <c r="C21">
        <v>-6.9999999999999999E-4</v>
      </c>
      <c r="D21">
        <v>-2.2100000000000001E-4</v>
      </c>
      <c r="E21">
        <v>4.8639720000000003E-4</v>
      </c>
      <c r="F21">
        <v>2.2899999999999999E-3</v>
      </c>
      <c r="G21">
        <v>2.189E-3</v>
      </c>
      <c r="H21">
        <v>-4.4407462000000002E-2</v>
      </c>
      <c r="I21">
        <v>-0.68728164899999999</v>
      </c>
      <c r="J21">
        <v>0.92700000000000005</v>
      </c>
      <c r="K21">
        <v>6.7000000000000004E-2</v>
      </c>
      <c r="M21" t="s">
        <v>18</v>
      </c>
      <c r="N21">
        <v>-1.1999999999999999E-3</v>
      </c>
      <c r="O21">
        <v>-7.6400000000000003E-4</v>
      </c>
      <c r="P21">
        <v>4.2824280000000001E-4</v>
      </c>
      <c r="Q21">
        <v>2.1800000000000001E-3</v>
      </c>
      <c r="R21">
        <v>2.1199999999999999E-3</v>
      </c>
      <c r="S21">
        <v>-2.7482093999999999E-2</v>
      </c>
      <c r="T21">
        <v>-0.35915405099999997</v>
      </c>
      <c r="U21">
        <v>0.93200000000000005</v>
      </c>
      <c r="V21">
        <v>6.9000000000000006E-2</v>
      </c>
      <c r="X21" t="s">
        <v>18</v>
      </c>
      <c r="AI21" t="s">
        <v>18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591</v>
      </c>
      <c r="M23" s="1" t="s">
        <v>592</v>
      </c>
      <c r="X23" s="1" t="s">
        <v>593</v>
      </c>
      <c r="AI23" s="1" t="s">
        <v>594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460</v>
      </c>
      <c r="J33" s="12" t="str">
        <f>INDEX('Method Codes'!$B:$B, MATCH(B33, 'Method Codes'!$I:$I,0))</f>
        <v>IND</v>
      </c>
      <c r="K33" s="12" t="str">
        <f>INDEX('Method Codes'!H:H, MATCH(B33, 'Method Codes'!I:I,0))</f>
        <v>3F</v>
      </c>
      <c r="M33" s="1" t="s">
        <v>522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3F</v>
      </c>
      <c r="X33" s="1" t="s">
        <v>595</v>
      </c>
      <c r="AI33" s="1" t="s">
        <v>596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2.8736700000000002</v>
      </c>
      <c r="E35">
        <v>-0.26172057100000001</v>
      </c>
      <c r="F35">
        <v>0.34758600000000001</v>
      </c>
      <c r="G35">
        <v>0.37173099999999998</v>
      </c>
      <c r="H35">
        <v>6.9465210999999999E-2</v>
      </c>
      <c r="I35">
        <v>-8.3473024000000007E-2</v>
      </c>
      <c r="J35">
        <v>0.91600000000000004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35">
        <v>2.883632</v>
      </c>
      <c r="P35">
        <v>-0.270256365</v>
      </c>
      <c r="Q35">
        <v>0.37773200000000001</v>
      </c>
      <c r="R35">
        <v>0.404227</v>
      </c>
      <c r="S35">
        <v>7.01425574E-2</v>
      </c>
      <c r="T35">
        <v>-8.5689901999999998E-2</v>
      </c>
      <c r="U35">
        <v>0.91500000000000004</v>
      </c>
      <c r="V35">
        <v>0</v>
      </c>
      <c r="X35" t="s">
        <v>12</v>
      </c>
      <c r="AI35" t="s">
        <v>12</v>
      </c>
      <c r="AS35" s="14"/>
    </row>
    <row r="36" spans="1:47" x14ac:dyDescent="0.25">
      <c r="A36" s="14"/>
      <c r="B36" t="s">
        <v>13</v>
      </c>
      <c r="C36">
        <v>-0.44119999999999998</v>
      </c>
      <c r="D36">
        <v>-0.194663</v>
      </c>
      <c r="E36">
        <v>0.24654280570000001</v>
      </c>
      <c r="F36">
        <v>0.15612100000000001</v>
      </c>
      <c r="G36">
        <v>0.153195</v>
      </c>
      <c r="H36">
        <v>-1.8741167999999999E-2</v>
      </c>
      <c r="I36">
        <v>-0.558792607</v>
      </c>
      <c r="J36">
        <v>0.63</v>
      </c>
      <c r="K36">
        <v>0</v>
      </c>
      <c r="M36" t="s">
        <v>13</v>
      </c>
      <c r="N36">
        <v>-0.434</v>
      </c>
      <c r="O36">
        <v>-0.19129499999999999</v>
      </c>
      <c r="P36">
        <v>0.24266515629999999</v>
      </c>
      <c r="Q36">
        <v>0.16225899999999999</v>
      </c>
      <c r="R36">
        <v>0.16153699999999999</v>
      </c>
      <c r="S36">
        <v>-4.4493199999999997E-3</v>
      </c>
      <c r="T36">
        <v>-0.55918780400000001</v>
      </c>
      <c r="U36">
        <v>0.68200000000000005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25">
      <c r="A37" s="14"/>
      <c r="B37" t="s">
        <v>14</v>
      </c>
      <c r="C37">
        <v>-7.3000000000000001E-3</v>
      </c>
      <c r="D37">
        <v>-3.8163999999999997E-2</v>
      </c>
      <c r="E37">
        <v>-3.0849788E-2</v>
      </c>
      <c r="F37">
        <v>5.9034999999999997E-2</v>
      </c>
      <c r="G37">
        <v>6.5244999999999997E-2</v>
      </c>
      <c r="H37">
        <v>0.1051899298</v>
      </c>
      <c r="I37">
        <v>4.2179270937000002</v>
      </c>
      <c r="J37">
        <v>0.94399999999999995</v>
      </c>
      <c r="K37">
        <v>0</v>
      </c>
      <c r="M37" t="s">
        <v>14</v>
      </c>
      <c r="N37">
        <v>-7.6E-3</v>
      </c>
      <c r="O37">
        <v>-3.7560000000000003E-2</v>
      </c>
      <c r="P37">
        <v>-2.9942420000000001E-2</v>
      </c>
      <c r="Q37">
        <v>5.8969000000000001E-2</v>
      </c>
      <c r="R37">
        <v>6.5437999999999996E-2</v>
      </c>
      <c r="S37">
        <v>0.10970622369999999</v>
      </c>
      <c r="T37">
        <v>3.9304773681</v>
      </c>
      <c r="U37">
        <v>0.94599999999999995</v>
      </c>
      <c r="V37">
        <v>0</v>
      </c>
      <c r="X37" t="s">
        <v>14</v>
      </c>
      <c r="AI37" t="s">
        <v>14</v>
      </c>
      <c r="AS37" s="14"/>
    </row>
    <row r="38" spans="1:47" x14ac:dyDescent="0.25">
      <c r="A38" s="14"/>
      <c r="B38" t="s">
        <v>15</v>
      </c>
      <c r="C38">
        <v>-0.45419999999999999</v>
      </c>
      <c r="D38">
        <v>-0.51467700000000005</v>
      </c>
      <c r="E38">
        <v>-6.0489192999999997E-2</v>
      </c>
      <c r="F38">
        <v>7.7213000000000004E-2</v>
      </c>
      <c r="G38">
        <v>7.8614000000000003E-2</v>
      </c>
      <c r="H38">
        <v>1.8145459199999998E-2</v>
      </c>
      <c r="I38">
        <v>0.13318094320000001</v>
      </c>
      <c r="J38">
        <v>0.85099999999999998</v>
      </c>
      <c r="K38">
        <v>0</v>
      </c>
      <c r="M38" t="s">
        <v>15</v>
      </c>
      <c r="N38">
        <v>-0.4551</v>
      </c>
      <c r="O38">
        <v>-0.52155600000000002</v>
      </c>
      <c r="P38">
        <v>-6.6424580999999996E-2</v>
      </c>
      <c r="Q38">
        <v>8.0267000000000005E-2</v>
      </c>
      <c r="R38">
        <v>8.2382999999999998E-2</v>
      </c>
      <c r="S38">
        <v>2.6369665300000001E-2</v>
      </c>
      <c r="T38">
        <v>0.1459457844</v>
      </c>
      <c r="U38">
        <v>0.84699999999999998</v>
      </c>
      <c r="V38">
        <v>0</v>
      </c>
      <c r="X38" t="s">
        <v>15</v>
      </c>
      <c r="AI38" t="s">
        <v>15</v>
      </c>
      <c r="AS38" s="14"/>
    </row>
    <row r="39" spans="1:47" x14ac:dyDescent="0.25">
      <c r="A39" s="14"/>
      <c r="B39" t="s">
        <v>16</v>
      </c>
      <c r="C39">
        <v>-8.2500000000000004E-2</v>
      </c>
      <c r="D39">
        <v>-0.13766999999999999</v>
      </c>
      <c r="E39">
        <v>-5.5127291000000002E-2</v>
      </c>
      <c r="F39">
        <v>8.1059999999999993E-2</v>
      </c>
      <c r="G39">
        <v>8.5757E-2</v>
      </c>
      <c r="H39">
        <v>5.7945449000000003E-2</v>
      </c>
      <c r="I39">
        <v>0.66786623550000002</v>
      </c>
      <c r="J39">
        <v>0.91100000000000003</v>
      </c>
      <c r="K39">
        <v>0</v>
      </c>
      <c r="M39" t="s">
        <v>16</v>
      </c>
      <c r="N39">
        <v>-8.0399999999999999E-2</v>
      </c>
      <c r="O39">
        <v>-0.135239</v>
      </c>
      <c r="P39">
        <v>-5.4832582999999997E-2</v>
      </c>
      <c r="Q39">
        <v>8.1337000000000007E-2</v>
      </c>
      <c r="R39">
        <v>8.6041000000000006E-2</v>
      </c>
      <c r="S39">
        <v>5.7831436999999999E-2</v>
      </c>
      <c r="T39">
        <v>0.6819418813</v>
      </c>
      <c r="U39">
        <v>0.91200000000000003</v>
      </c>
      <c r="V39">
        <v>0</v>
      </c>
      <c r="X39" t="s">
        <v>16</v>
      </c>
      <c r="AI39" t="s">
        <v>16</v>
      </c>
      <c r="AS39" s="14"/>
    </row>
    <row r="40" spans="1:47" x14ac:dyDescent="0.25">
      <c r="A40" s="14"/>
      <c r="B40" t="s">
        <v>17</v>
      </c>
      <c r="C40">
        <v>-0.12590000000000001</v>
      </c>
      <c r="D40">
        <v>-0.13478399999999999</v>
      </c>
      <c r="E40">
        <v>-8.8373779999999999E-3</v>
      </c>
      <c r="F40">
        <v>9.4120000000000002E-3</v>
      </c>
      <c r="G40">
        <v>1.0515999999999999E-2</v>
      </c>
      <c r="H40">
        <v>0.1172010387</v>
      </c>
      <c r="I40">
        <v>7.0167831E-2</v>
      </c>
      <c r="J40">
        <v>0.88600000000000001</v>
      </c>
      <c r="K40">
        <v>0</v>
      </c>
      <c r="M40" t="s">
        <v>17</v>
      </c>
      <c r="N40">
        <v>-0.1255</v>
      </c>
      <c r="O40">
        <v>-0.13534299999999999</v>
      </c>
      <c r="P40">
        <v>-9.8781230000000008E-3</v>
      </c>
      <c r="Q40">
        <v>1.0141000000000001E-2</v>
      </c>
      <c r="R40">
        <v>1.1354E-2</v>
      </c>
      <c r="S40">
        <v>0.1196341253</v>
      </c>
      <c r="T40">
        <v>7.8732256200000003E-2</v>
      </c>
      <c r="U40">
        <v>0.86299999999999999</v>
      </c>
      <c r="V40">
        <v>0</v>
      </c>
      <c r="X40" t="s">
        <v>17</v>
      </c>
      <c r="AI40" t="s">
        <v>17</v>
      </c>
      <c r="AS40" s="14"/>
    </row>
    <row r="41" spans="1:47" x14ac:dyDescent="0.25">
      <c r="A41" s="14"/>
      <c r="B41" t="s">
        <v>18</v>
      </c>
      <c r="C41">
        <v>-6.9999999999999999E-4</v>
      </c>
      <c r="D41">
        <v>6.8450000000000004E-3</v>
      </c>
      <c r="E41">
        <v>7.5530846E-3</v>
      </c>
      <c r="F41">
        <v>7.3990000000000002E-3</v>
      </c>
      <c r="G41">
        <v>8.2059999999999998E-3</v>
      </c>
      <c r="H41">
        <v>0.1090282148</v>
      </c>
      <c r="I41">
        <v>-10.67254668</v>
      </c>
      <c r="J41">
        <v>0.84499999999999997</v>
      </c>
      <c r="K41">
        <v>0</v>
      </c>
      <c r="M41" t="s">
        <v>18</v>
      </c>
      <c r="N41">
        <v>-1.1999999999999999E-3</v>
      </c>
      <c r="O41">
        <v>7.3429999999999997E-3</v>
      </c>
      <c r="P41">
        <v>8.5353743000000006E-3</v>
      </c>
      <c r="Q41">
        <v>8.2830000000000004E-3</v>
      </c>
      <c r="R41">
        <v>9.2029999999999994E-3</v>
      </c>
      <c r="S41">
        <v>0.1111258351</v>
      </c>
      <c r="T41">
        <v>-7.1583555380000004</v>
      </c>
      <c r="U41">
        <v>0.83499999999999996</v>
      </c>
      <c r="V41">
        <v>0</v>
      </c>
      <c r="X41" t="s">
        <v>18</v>
      </c>
      <c r="AI41" t="s">
        <v>18</v>
      </c>
      <c r="AS41" s="14"/>
    </row>
    <row r="43" spans="1:47" ht="14.45" customHeight="1" x14ac:dyDescent="0.25">
      <c r="A43" s="13" t="s">
        <v>70</v>
      </c>
      <c r="B43" s="1" t="s">
        <v>472</v>
      </c>
      <c r="J43" s="12" t="str">
        <f>INDEX('Method Codes'!$B:$B, MATCH(B43, 'Method Codes'!$I:$I,0))</f>
        <v>IND</v>
      </c>
      <c r="K43" s="12" t="str">
        <f>INDEX('Method Codes'!H:H, MATCH(B43, 'Method Codes'!I:I,0))</f>
        <v>4J</v>
      </c>
      <c r="M43" s="1" t="s">
        <v>533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4J</v>
      </c>
      <c r="X43" s="1" t="s">
        <v>597</v>
      </c>
      <c r="AI43" s="1" t="s">
        <v>598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2.9516659999999999</v>
      </c>
      <c r="E45">
        <v>-0.18372508700000001</v>
      </c>
      <c r="F45">
        <v>0.28253200000000001</v>
      </c>
      <c r="G45">
        <v>0.26379900000000001</v>
      </c>
      <c r="H45">
        <v>-6.6303622000000006E-2</v>
      </c>
      <c r="I45">
        <v>-5.8597185000000003E-2</v>
      </c>
      <c r="J45">
        <v>0.875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45">
        <v>3.004956</v>
      </c>
      <c r="P45">
        <v>-0.14893260899999999</v>
      </c>
      <c r="Q45">
        <v>0.30479200000000001</v>
      </c>
      <c r="R45">
        <v>0.28288400000000002</v>
      </c>
      <c r="S45">
        <v>-7.1878026999999997E-2</v>
      </c>
      <c r="T45">
        <v>-4.7221906000000001E-2</v>
      </c>
      <c r="U45">
        <v>0.89200000000000002</v>
      </c>
      <c r="V45">
        <v>1</v>
      </c>
      <c r="X45" t="s">
        <v>12</v>
      </c>
      <c r="AI45" t="s">
        <v>12</v>
      </c>
      <c r="AS45" s="14"/>
    </row>
    <row r="46" spans="1:47" x14ac:dyDescent="0.25">
      <c r="A46" s="14"/>
      <c r="B46" t="s">
        <v>13</v>
      </c>
      <c r="C46">
        <v>-0.44119999999999998</v>
      </c>
      <c r="D46">
        <v>-0.36683700000000002</v>
      </c>
      <c r="E46">
        <v>7.4369156500000005E-2</v>
      </c>
      <c r="F46">
        <v>0.113527</v>
      </c>
      <c r="G46">
        <v>0.10763300000000001</v>
      </c>
      <c r="H46">
        <v>-5.1916644999999997E-2</v>
      </c>
      <c r="I46">
        <v>-0.16855870000000001</v>
      </c>
      <c r="J46">
        <v>0.86399999999999999</v>
      </c>
      <c r="K46">
        <v>0.91400000000000003</v>
      </c>
      <c r="M46" t="s">
        <v>13</v>
      </c>
      <c r="N46">
        <v>-0.434</v>
      </c>
      <c r="O46">
        <v>-0.35393799999999997</v>
      </c>
      <c r="P46">
        <v>8.0022194099999999E-2</v>
      </c>
      <c r="Q46">
        <v>0.120638</v>
      </c>
      <c r="R46">
        <v>0.113792</v>
      </c>
      <c r="S46">
        <v>-5.6747756000000003E-2</v>
      </c>
      <c r="T46">
        <v>-0.184399918</v>
      </c>
      <c r="U46">
        <v>0.86799999999999999</v>
      </c>
      <c r="V46">
        <v>0.85099999999999998</v>
      </c>
      <c r="X46" t="s">
        <v>13</v>
      </c>
      <c r="AI46" t="s">
        <v>13</v>
      </c>
      <c r="AS46" s="14"/>
    </row>
    <row r="47" spans="1:47" x14ac:dyDescent="0.25">
      <c r="A47" s="14"/>
      <c r="B47" t="s">
        <v>14</v>
      </c>
      <c r="C47">
        <v>-7.3000000000000001E-3</v>
      </c>
      <c r="D47">
        <v>-1.9252999999999999E-2</v>
      </c>
      <c r="E47">
        <v>-1.1938733E-2</v>
      </c>
      <c r="F47">
        <v>6.1316000000000002E-2</v>
      </c>
      <c r="G47">
        <v>6.3297000000000006E-2</v>
      </c>
      <c r="H47">
        <v>3.2315667999999999E-2</v>
      </c>
      <c r="I47">
        <v>1.6323193492000001</v>
      </c>
      <c r="J47">
        <v>0.95499999999999996</v>
      </c>
      <c r="K47">
        <v>5.7000000000000002E-2</v>
      </c>
      <c r="M47" t="s">
        <v>14</v>
      </c>
      <c r="N47">
        <v>-7.6E-3</v>
      </c>
      <c r="O47">
        <v>-1.8936999999999999E-2</v>
      </c>
      <c r="P47">
        <v>-1.1319464E-2</v>
      </c>
      <c r="Q47">
        <v>6.3991999999999993E-2</v>
      </c>
      <c r="R47">
        <v>6.6081000000000001E-2</v>
      </c>
      <c r="S47">
        <v>3.2648871699999998E-2</v>
      </c>
      <c r="T47">
        <v>1.4858817955000001</v>
      </c>
      <c r="U47">
        <v>0.95299999999999996</v>
      </c>
      <c r="V47">
        <v>5.5E-2</v>
      </c>
      <c r="X47" t="s">
        <v>14</v>
      </c>
      <c r="AI47" t="s">
        <v>14</v>
      </c>
      <c r="AS47" s="14"/>
    </row>
    <row r="48" spans="1:47" x14ac:dyDescent="0.25">
      <c r="A48" s="14"/>
      <c r="B48" t="s">
        <v>15</v>
      </c>
      <c r="C48">
        <v>-0.45419999999999999</v>
      </c>
      <c r="D48">
        <v>-0.44378400000000001</v>
      </c>
      <c r="E48">
        <v>1.04041997E-2</v>
      </c>
      <c r="F48">
        <v>6.9591E-2</v>
      </c>
      <c r="G48">
        <v>6.5178E-2</v>
      </c>
      <c r="H48">
        <v>-6.3409475000000007E-2</v>
      </c>
      <c r="I48">
        <v>-2.2907251E-2</v>
      </c>
      <c r="J48">
        <v>0.93500000000000005</v>
      </c>
      <c r="K48">
        <v>1</v>
      </c>
      <c r="M48" t="s">
        <v>15</v>
      </c>
      <c r="N48">
        <v>-0.4551</v>
      </c>
      <c r="O48">
        <v>-0.452295</v>
      </c>
      <c r="P48">
        <v>2.8366119E-3</v>
      </c>
      <c r="Q48">
        <v>7.5791999999999998E-2</v>
      </c>
      <c r="R48">
        <v>7.0522000000000001E-2</v>
      </c>
      <c r="S48">
        <v>-6.9530036000000003E-2</v>
      </c>
      <c r="T48">
        <v>-6.2325050000000002E-3</v>
      </c>
      <c r="U48">
        <v>0.93300000000000005</v>
      </c>
      <c r="V48">
        <v>1</v>
      </c>
      <c r="X48" t="s">
        <v>15</v>
      </c>
      <c r="AI48" t="s">
        <v>15</v>
      </c>
      <c r="AS48" s="14"/>
    </row>
    <row r="49" spans="1:45" x14ac:dyDescent="0.25">
      <c r="A49" s="14"/>
      <c r="B49" t="s">
        <v>16</v>
      </c>
      <c r="C49">
        <v>-8.2500000000000004E-2</v>
      </c>
      <c r="D49">
        <v>-0.11505899999999999</v>
      </c>
      <c r="E49">
        <v>-3.2516703000000001E-2</v>
      </c>
      <c r="F49">
        <v>8.5402000000000006E-2</v>
      </c>
      <c r="G49">
        <v>8.5084999999999994E-2</v>
      </c>
      <c r="H49">
        <v>-3.70083E-3</v>
      </c>
      <c r="I49">
        <v>0.39393933590000002</v>
      </c>
      <c r="J49">
        <v>0.93200000000000005</v>
      </c>
      <c r="K49">
        <v>0.27300000000000002</v>
      </c>
      <c r="M49" t="s">
        <v>16</v>
      </c>
      <c r="N49">
        <v>-8.0399999999999999E-2</v>
      </c>
      <c r="O49">
        <v>-0.111453</v>
      </c>
      <c r="P49">
        <v>-3.1046692000000001E-2</v>
      </c>
      <c r="Q49">
        <v>8.9358000000000007E-2</v>
      </c>
      <c r="R49">
        <v>8.8383000000000003E-2</v>
      </c>
      <c r="S49">
        <v>-1.0916594E-2</v>
      </c>
      <c r="T49">
        <v>0.38612150210000001</v>
      </c>
      <c r="U49">
        <v>0.93600000000000005</v>
      </c>
      <c r="V49">
        <v>0.25</v>
      </c>
      <c r="X49" t="s">
        <v>16</v>
      </c>
      <c r="AI49" t="s">
        <v>16</v>
      </c>
      <c r="AS49" s="14"/>
    </row>
    <row r="50" spans="1:45" x14ac:dyDescent="0.25">
      <c r="A50" s="14"/>
      <c r="B50" t="s">
        <v>17</v>
      </c>
      <c r="C50">
        <v>-0.12590000000000001</v>
      </c>
      <c r="D50">
        <v>-0.12609600000000001</v>
      </c>
      <c r="E50">
        <v>-1.4953899999999999E-4</v>
      </c>
      <c r="F50">
        <v>6.6959999999999997E-3</v>
      </c>
      <c r="G50">
        <v>6.7790000000000003E-3</v>
      </c>
      <c r="H50">
        <v>1.24082972E-2</v>
      </c>
      <c r="I50">
        <v>1.1873249000000001E-3</v>
      </c>
      <c r="J50">
        <v>0.95199999999999996</v>
      </c>
      <c r="K50">
        <v>1</v>
      </c>
      <c r="M50" t="s">
        <v>17</v>
      </c>
      <c r="N50">
        <v>-0.1255</v>
      </c>
      <c r="O50">
        <v>-0.125635</v>
      </c>
      <c r="P50">
        <v>-1.7006899999999999E-4</v>
      </c>
      <c r="Q50">
        <v>6.8060000000000004E-3</v>
      </c>
      <c r="R50">
        <v>6.8389999999999996E-3</v>
      </c>
      <c r="S50">
        <v>4.7403339000000001E-3</v>
      </c>
      <c r="T50">
        <v>1.3555112000000001E-3</v>
      </c>
      <c r="U50">
        <v>0.94799999999999995</v>
      </c>
      <c r="V50">
        <v>1</v>
      </c>
      <c r="X50" t="s">
        <v>17</v>
      </c>
      <c r="AI50" t="s">
        <v>17</v>
      </c>
      <c r="AS50" s="14"/>
    </row>
    <row r="51" spans="1:45" x14ac:dyDescent="0.25">
      <c r="A51" s="14"/>
      <c r="B51" t="s">
        <v>18</v>
      </c>
      <c r="C51">
        <v>-6.9999999999999999E-4</v>
      </c>
      <c r="D51">
        <v>-5.8E-4</v>
      </c>
      <c r="E51">
        <v>1.2747990000000001E-4</v>
      </c>
      <c r="F51">
        <v>3.4399999999999999E-3</v>
      </c>
      <c r="G51">
        <v>3.3310000000000002E-3</v>
      </c>
      <c r="H51">
        <v>-3.1711906999999998E-2</v>
      </c>
      <c r="I51">
        <v>-0.1801297</v>
      </c>
      <c r="J51">
        <v>0.94699999999999995</v>
      </c>
      <c r="K51">
        <v>6.0999999999999999E-2</v>
      </c>
      <c r="M51" t="s">
        <v>18</v>
      </c>
      <c r="N51">
        <v>-1.1999999999999999E-3</v>
      </c>
      <c r="O51">
        <v>-1.075E-3</v>
      </c>
      <c r="P51">
        <v>1.172652E-4</v>
      </c>
      <c r="Q51">
        <v>3.4320000000000002E-3</v>
      </c>
      <c r="R51">
        <v>3.3349999999999999E-3</v>
      </c>
      <c r="S51">
        <v>-2.8141030000000001E-2</v>
      </c>
      <c r="T51">
        <v>-9.8346703999999993E-2</v>
      </c>
      <c r="U51">
        <v>0.94299999999999995</v>
      </c>
      <c r="V51">
        <v>7.3999999999999996E-2</v>
      </c>
      <c r="X51" t="s">
        <v>18</v>
      </c>
      <c r="AI51" t="s">
        <v>18</v>
      </c>
      <c r="AS51" s="14"/>
    </row>
    <row r="53" spans="1:45" ht="14.45" customHeight="1" x14ac:dyDescent="0.25">
      <c r="A53" s="13" t="s">
        <v>97</v>
      </c>
      <c r="B53" s="1" t="s">
        <v>480</v>
      </c>
      <c r="J53" s="12" t="str">
        <f>INDEX('Method Codes'!$B:$B, MATCH(B53, 'Method Codes'!$I:$I,0))</f>
        <v>IND</v>
      </c>
      <c r="K53" s="12" t="str">
        <f>INDEX('Method Codes'!H:H, MATCH(B53, 'Method Codes'!I:I,0))</f>
        <v>5F</v>
      </c>
      <c r="M53" s="1" t="s">
        <v>540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5F</v>
      </c>
      <c r="X53" s="1" t="s">
        <v>599</v>
      </c>
      <c r="AI53" s="1" t="s">
        <v>600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3.060127</v>
      </c>
      <c r="E55">
        <v>-7.5264310000000001E-2</v>
      </c>
      <c r="F55">
        <v>0.22586800000000001</v>
      </c>
      <c r="G55">
        <v>0.236036</v>
      </c>
      <c r="H55">
        <v>4.5016746900000001E-2</v>
      </c>
      <c r="I55">
        <v>-2.400476E-2</v>
      </c>
      <c r="J55">
        <v>0.95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5">
        <v>3.1033270000000002</v>
      </c>
      <c r="P55">
        <v>-5.0560977E-2</v>
      </c>
      <c r="Q55">
        <v>0.236814</v>
      </c>
      <c r="R55">
        <v>0.25212600000000002</v>
      </c>
      <c r="S55">
        <v>6.4656546600000003E-2</v>
      </c>
      <c r="T55">
        <v>-1.6031316E-2</v>
      </c>
      <c r="U55">
        <v>0.95699999999999996</v>
      </c>
      <c r="V55">
        <v>0</v>
      </c>
      <c r="X55" t="s">
        <v>12</v>
      </c>
      <c r="AI55" t="s">
        <v>12</v>
      </c>
      <c r="AS55" s="14"/>
    </row>
    <row r="56" spans="1:45" x14ac:dyDescent="0.25">
      <c r="A56" s="14"/>
      <c r="B56" t="s">
        <v>13</v>
      </c>
      <c r="C56">
        <v>-0.44119999999999998</v>
      </c>
      <c r="D56">
        <v>-0.31519000000000003</v>
      </c>
      <c r="E56">
        <v>0.1260163416</v>
      </c>
      <c r="F56">
        <v>9.1066999999999995E-2</v>
      </c>
      <c r="G56">
        <v>9.0317999999999996E-2</v>
      </c>
      <c r="H56">
        <v>-8.2237339999999999E-3</v>
      </c>
      <c r="I56">
        <v>-0.28561774400000001</v>
      </c>
      <c r="J56">
        <v>0.72899999999999998</v>
      </c>
      <c r="K56">
        <v>0</v>
      </c>
      <c r="M56" t="s">
        <v>13</v>
      </c>
      <c r="N56">
        <v>-0.434</v>
      </c>
      <c r="O56">
        <v>-0.29882900000000001</v>
      </c>
      <c r="P56">
        <v>0.1351310932</v>
      </c>
      <c r="Q56">
        <v>9.4890000000000002E-2</v>
      </c>
      <c r="R56">
        <v>9.4621999999999998E-2</v>
      </c>
      <c r="S56">
        <v>-2.8285799999999998E-3</v>
      </c>
      <c r="T56">
        <v>-0.31139064399999999</v>
      </c>
      <c r="U56">
        <v>0.72199999999999998</v>
      </c>
      <c r="V56">
        <v>0</v>
      </c>
      <c r="X56" t="s">
        <v>13</v>
      </c>
      <c r="AI56" t="s">
        <v>13</v>
      </c>
      <c r="AS56" s="14"/>
    </row>
    <row r="57" spans="1:45" x14ac:dyDescent="0.25">
      <c r="A57" s="14"/>
      <c r="B57" t="s">
        <v>14</v>
      </c>
      <c r="C57">
        <v>-7.3000000000000001E-3</v>
      </c>
      <c r="D57">
        <v>-2.6046E-2</v>
      </c>
      <c r="E57">
        <v>-1.8732428999999998E-2</v>
      </c>
      <c r="F57">
        <v>4.0030000000000003E-2</v>
      </c>
      <c r="G57">
        <v>4.9264000000000002E-2</v>
      </c>
      <c r="H57">
        <v>0.23065719970000001</v>
      </c>
      <c r="I57">
        <v>2.5611851364999998</v>
      </c>
      <c r="J57">
        <v>0.97299999999999998</v>
      </c>
      <c r="K57">
        <v>0</v>
      </c>
      <c r="M57" t="s">
        <v>14</v>
      </c>
      <c r="N57">
        <v>-7.6E-3</v>
      </c>
      <c r="O57">
        <v>-2.6578999999999998E-2</v>
      </c>
      <c r="P57">
        <v>-1.8960843000000002E-2</v>
      </c>
      <c r="Q57">
        <v>4.0726999999999999E-2</v>
      </c>
      <c r="R57">
        <v>5.0839000000000002E-2</v>
      </c>
      <c r="S57">
        <v>0.24829845519999999</v>
      </c>
      <c r="T57">
        <v>2.4889493393</v>
      </c>
      <c r="U57">
        <v>0.96899999999999997</v>
      </c>
      <c r="V57">
        <v>0</v>
      </c>
      <c r="X57" t="s">
        <v>14</v>
      </c>
      <c r="AI57" t="s">
        <v>14</v>
      </c>
      <c r="AS57" s="14"/>
    </row>
    <row r="58" spans="1:45" x14ac:dyDescent="0.25">
      <c r="A58" s="14"/>
      <c r="B58" t="s">
        <v>15</v>
      </c>
      <c r="C58">
        <v>-0.45419999999999999</v>
      </c>
      <c r="D58">
        <v>-0.48439900000000002</v>
      </c>
      <c r="E58">
        <v>-3.0211115E-2</v>
      </c>
      <c r="F58">
        <v>5.2652999999999998E-2</v>
      </c>
      <c r="G58">
        <v>5.5393999999999999E-2</v>
      </c>
      <c r="H58">
        <v>5.2058883E-2</v>
      </c>
      <c r="I58">
        <v>6.6516754100000006E-2</v>
      </c>
      <c r="J58">
        <v>0.92600000000000005</v>
      </c>
      <c r="K58">
        <v>0</v>
      </c>
      <c r="M58" t="s">
        <v>15</v>
      </c>
      <c r="N58">
        <v>-0.4551</v>
      </c>
      <c r="O58">
        <v>-0.49637300000000001</v>
      </c>
      <c r="P58">
        <v>-4.1241381000000001E-2</v>
      </c>
      <c r="Q58">
        <v>5.6061E-2</v>
      </c>
      <c r="R58">
        <v>5.9638999999999998E-2</v>
      </c>
      <c r="S58">
        <v>6.3822292700000005E-2</v>
      </c>
      <c r="T58">
        <v>9.0614132299999997E-2</v>
      </c>
      <c r="U58">
        <v>0.91400000000000003</v>
      </c>
      <c r="V58">
        <v>0</v>
      </c>
      <c r="X58" t="s">
        <v>15</v>
      </c>
      <c r="AI58" t="s">
        <v>15</v>
      </c>
      <c r="AS58" s="14"/>
    </row>
    <row r="59" spans="1:45" x14ac:dyDescent="0.25">
      <c r="A59" s="14"/>
      <c r="B59" t="s">
        <v>16</v>
      </c>
      <c r="C59">
        <v>-8.2500000000000004E-2</v>
      </c>
      <c r="D59">
        <v>-8.2131999999999997E-2</v>
      </c>
      <c r="E59">
        <v>4.1014449999999999E-4</v>
      </c>
      <c r="F59">
        <v>5.2262999999999997E-2</v>
      </c>
      <c r="G59">
        <v>6.1023000000000001E-2</v>
      </c>
      <c r="H59">
        <v>0.1676023817</v>
      </c>
      <c r="I59">
        <v>-4.9688939999999997E-3</v>
      </c>
      <c r="J59">
        <v>0.97299999999999998</v>
      </c>
      <c r="K59">
        <v>0</v>
      </c>
      <c r="M59" t="s">
        <v>16</v>
      </c>
      <c r="N59">
        <v>-8.0399999999999999E-2</v>
      </c>
      <c r="O59">
        <v>-7.6367000000000004E-2</v>
      </c>
      <c r="P59">
        <v>4.0399028999999996E-3</v>
      </c>
      <c r="Q59">
        <v>5.3314E-2</v>
      </c>
      <c r="R59">
        <v>6.2798000000000007E-2</v>
      </c>
      <c r="S59">
        <v>0.1778960232</v>
      </c>
      <c r="T59">
        <v>-5.0243465000000001E-2</v>
      </c>
      <c r="U59">
        <v>0.97399999999999998</v>
      </c>
      <c r="V59">
        <v>0</v>
      </c>
      <c r="X59" t="s">
        <v>16</v>
      </c>
      <c r="AI59" t="s">
        <v>16</v>
      </c>
      <c r="AS59" s="14"/>
    </row>
    <row r="60" spans="1:45" x14ac:dyDescent="0.25">
      <c r="A60" s="14"/>
      <c r="B60" t="s">
        <v>17</v>
      </c>
      <c r="C60">
        <v>-0.12590000000000001</v>
      </c>
      <c r="D60">
        <v>-0.129861</v>
      </c>
      <c r="E60">
        <v>-3.9149780000000004E-3</v>
      </c>
      <c r="F60">
        <v>5.8110000000000002E-3</v>
      </c>
      <c r="G60">
        <v>5.9420000000000002E-3</v>
      </c>
      <c r="H60">
        <v>2.2496492E-2</v>
      </c>
      <c r="I60">
        <v>3.10845015E-2</v>
      </c>
      <c r="J60">
        <v>0.89500000000000002</v>
      </c>
      <c r="K60">
        <v>0</v>
      </c>
      <c r="M60" t="s">
        <v>17</v>
      </c>
      <c r="N60">
        <v>-0.1255</v>
      </c>
      <c r="O60">
        <v>-0.12881600000000001</v>
      </c>
      <c r="P60">
        <v>-3.3510689999999999E-3</v>
      </c>
      <c r="Q60">
        <v>5.9769999999999997E-3</v>
      </c>
      <c r="R60">
        <v>6.0600000000000003E-3</v>
      </c>
      <c r="S60">
        <v>1.39570643E-2</v>
      </c>
      <c r="T60">
        <v>2.6709247500000002E-2</v>
      </c>
      <c r="U60">
        <v>0.91200000000000003</v>
      </c>
      <c r="V60">
        <v>0</v>
      </c>
      <c r="X60" t="s">
        <v>17</v>
      </c>
      <c r="AI60" t="s">
        <v>17</v>
      </c>
      <c r="AS60" s="14"/>
    </row>
    <row r="61" spans="1:45" x14ac:dyDescent="0.25">
      <c r="A61" s="14"/>
      <c r="B61" t="s">
        <v>18</v>
      </c>
      <c r="C61">
        <v>-6.9999999999999999E-4</v>
      </c>
      <c r="D61">
        <v>1.0610000000000001E-3</v>
      </c>
      <c r="E61">
        <v>1.7691670999999999E-3</v>
      </c>
      <c r="F61">
        <v>2.941E-3</v>
      </c>
      <c r="G61">
        <v>3.0720000000000001E-3</v>
      </c>
      <c r="H61">
        <v>4.4703639400000002E-2</v>
      </c>
      <c r="I61">
        <v>-2.499842106</v>
      </c>
      <c r="J61">
        <v>0.94099999999999995</v>
      </c>
      <c r="K61">
        <v>0</v>
      </c>
      <c r="M61" t="s">
        <v>18</v>
      </c>
      <c r="N61">
        <v>-1.1999999999999999E-3</v>
      </c>
      <c r="O61">
        <v>7.6000000000000004E-4</v>
      </c>
      <c r="P61">
        <v>1.9519629999999999E-3</v>
      </c>
      <c r="Q61">
        <v>3.009E-3</v>
      </c>
      <c r="R61">
        <v>3.14E-3</v>
      </c>
      <c r="S61">
        <v>4.34846407E-2</v>
      </c>
      <c r="T61">
        <v>-1.6370512740000001</v>
      </c>
      <c r="U61">
        <v>0.93400000000000005</v>
      </c>
      <c r="V61">
        <v>0</v>
      </c>
      <c r="X61" t="s">
        <v>18</v>
      </c>
      <c r="AI61" t="s">
        <v>18</v>
      </c>
      <c r="AS61" s="14"/>
    </row>
    <row r="63" spans="1:45" ht="14.45" customHeight="1" x14ac:dyDescent="0.25">
      <c r="A63" s="13" t="s">
        <v>98</v>
      </c>
      <c r="B63" s="1" t="s">
        <v>492</v>
      </c>
      <c r="J63" s="12" t="str">
        <f>INDEX('Method Codes'!$B:$B, MATCH(B63, 'Method Codes'!$I:$I,0))</f>
        <v>IND</v>
      </c>
      <c r="K63" s="12" t="str">
        <f>INDEX('Method Codes'!H:H, MATCH(B63, 'Method Codes'!I:I,0))</f>
        <v>6J</v>
      </c>
      <c r="M63" s="1" t="s">
        <v>551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6J</v>
      </c>
      <c r="X63" s="1" t="s">
        <v>601</v>
      </c>
      <c r="AI63" s="1" t="s">
        <v>602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3.0708859999999998</v>
      </c>
      <c r="E65">
        <v>-6.4505093999999999E-2</v>
      </c>
      <c r="F65">
        <v>0.22532099999999999</v>
      </c>
      <c r="G65">
        <v>0.21113999999999999</v>
      </c>
      <c r="H65">
        <v>-6.2938305E-2</v>
      </c>
      <c r="I65">
        <v>-2.0573220999999999E-2</v>
      </c>
      <c r="J65">
        <v>0.93400000000000005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65">
        <v>3.14229</v>
      </c>
      <c r="P65">
        <v>-1.1598359000000001E-2</v>
      </c>
      <c r="Q65">
        <v>0.243533</v>
      </c>
      <c r="R65">
        <v>0.22684599999999999</v>
      </c>
      <c r="S65">
        <v>-6.8518863999999999E-2</v>
      </c>
      <c r="T65">
        <v>-3.677479E-3</v>
      </c>
      <c r="U65">
        <v>0.93600000000000005</v>
      </c>
      <c r="V65">
        <v>1</v>
      </c>
      <c r="X65" t="s">
        <v>12</v>
      </c>
      <c r="AI65" t="s">
        <v>12</v>
      </c>
      <c r="AS65" s="14"/>
    </row>
    <row r="66" spans="1:45" x14ac:dyDescent="0.25">
      <c r="A66" s="14"/>
      <c r="B66" t="s">
        <v>13</v>
      </c>
      <c r="C66">
        <v>-0.44119999999999998</v>
      </c>
      <c r="D66">
        <v>-0.36026900000000001</v>
      </c>
      <c r="E66">
        <v>8.0937769500000006E-2</v>
      </c>
      <c r="F66">
        <v>8.1559999999999994E-2</v>
      </c>
      <c r="G66">
        <v>7.8170000000000003E-2</v>
      </c>
      <c r="H66">
        <v>-4.1565775999999999E-2</v>
      </c>
      <c r="I66">
        <v>-0.18344655000000001</v>
      </c>
      <c r="J66">
        <v>0.79900000000000004</v>
      </c>
      <c r="K66">
        <v>0.997</v>
      </c>
      <c r="M66" t="s">
        <v>13</v>
      </c>
      <c r="N66">
        <v>-0.434</v>
      </c>
      <c r="O66">
        <v>-0.34493699999999999</v>
      </c>
      <c r="P66">
        <v>8.9023063999999999E-2</v>
      </c>
      <c r="Q66">
        <v>8.6532999999999999E-2</v>
      </c>
      <c r="R66">
        <v>8.2368999999999998E-2</v>
      </c>
      <c r="S66">
        <v>-4.8126257999999998E-2</v>
      </c>
      <c r="T66">
        <v>-0.20514115999999999</v>
      </c>
      <c r="U66">
        <v>0.77900000000000003</v>
      </c>
      <c r="V66">
        <v>0.98899999999999999</v>
      </c>
      <c r="X66" t="s">
        <v>13</v>
      </c>
      <c r="AI66" t="s">
        <v>13</v>
      </c>
      <c r="AS66" s="14"/>
    </row>
    <row r="67" spans="1:45" x14ac:dyDescent="0.25">
      <c r="A67" s="14"/>
      <c r="B67" t="s">
        <v>14</v>
      </c>
      <c r="C67">
        <v>-7.3000000000000001E-3</v>
      </c>
      <c r="D67">
        <v>-1.6521000000000001E-2</v>
      </c>
      <c r="E67">
        <v>-9.2067820000000002E-3</v>
      </c>
      <c r="F67">
        <v>4.4602999999999997E-2</v>
      </c>
      <c r="G67">
        <v>4.7433999999999997E-2</v>
      </c>
      <c r="H67">
        <v>6.3485520200000006E-2</v>
      </c>
      <c r="I67">
        <v>1.2587942539000001</v>
      </c>
      <c r="J67">
        <v>0.96099999999999997</v>
      </c>
      <c r="K67">
        <v>4.9000000000000002E-2</v>
      </c>
      <c r="M67" t="s">
        <v>14</v>
      </c>
      <c r="N67">
        <v>-7.6E-3</v>
      </c>
      <c r="O67">
        <v>-1.6355999999999999E-2</v>
      </c>
      <c r="P67">
        <v>-8.737725E-3</v>
      </c>
      <c r="Q67">
        <v>4.6463999999999998E-2</v>
      </c>
      <c r="R67">
        <v>4.9303E-2</v>
      </c>
      <c r="S67">
        <v>6.1103491099999997E-2</v>
      </c>
      <c r="T67">
        <v>1.1469825154</v>
      </c>
      <c r="U67">
        <v>0.96</v>
      </c>
      <c r="V67">
        <v>5.0999999999999997E-2</v>
      </c>
      <c r="X67" t="s">
        <v>14</v>
      </c>
      <c r="AI67" t="s">
        <v>14</v>
      </c>
      <c r="AS67" s="14"/>
    </row>
    <row r="68" spans="1:45" x14ac:dyDescent="0.25">
      <c r="A68" s="14"/>
      <c r="B68" t="s">
        <v>15</v>
      </c>
      <c r="C68">
        <v>-0.45419999999999999</v>
      </c>
      <c r="D68">
        <v>-0.45639600000000002</v>
      </c>
      <c r="E68">
        <v>-2.2077109999999998E-3</v>
      </c>
      <c r="F68">
        <v>5.1686000000000003E-2</v>
      </c>
      <c r="G68">
        <v>4.9574E-2</v>
      </c>
      <c r="H68">
        <v>-4.0858272000000001E-2</v>
      </c>
      <c r="I68">
        <v>4.8607854000000004E-3</v>
      </c>
      <c r="J68">
        <v>0.95099999999999996</v>
      </c>
      <c r="K68">
        <v>1</v>
      </c>
      <c r="M68" t="s">
        <v>15</v>
      </c>
      <c r="N68">
        <v>-0.4551</v>
      </c>
      <c r="O68">
        <v>-0.470414</v>
      </c>
      <c r="P68">
        <v>-1.5282534E-2</v>
      </c>
      <c r="Q68">
        <v>5.6605000000000003E-2</v>
      </c>
      <c r="R68">
        <v>5.3877000000000001E-2</v>
      </c>
      <c r="S68">
        <v>-4.8182941E-2</v>
      </c>
      <c r="T68">
        <v>3.35782539E-2</v>
      </c>
      <c r="U68">
        <v>0.92700000000000005</v>
      </c>
      <c r="V68">
        <v>1</v>
      </c>
      <c r="X68" t="s">
        <v>15</v>
      </c>
      <c r="AI68" t="s">
        <v>15</v>
      </c>
      <c r="AS68" s="14"/>
    </row>
    <row r="69" spans="1:45" x14ac:dyDescent="0.25">
      <c r="A69" s="14"/>
      <c r="B69" t="s">
        <v>16</v>
      </c>
      <c r="C69">
        <v>-8.2500000000000004E-2</v>
      </c>
      <c r="D69">
        <v>-0.10545300000000001</v>
      </c>
      <c r="E69">
        <v>-2.2910376E-2</v>
      </c>
      <c r="F69">
        <v>6.1419000000000001E-2</v>
      </c>
      <c r="G69">
        <v>6.1282999999999997E-2</v>
      </c>
      <c r="H69">
        <v>-2.20784E-3</v>
      </c>
      <c r="I69">
        <v>0.27755883390000002</v>
      </c>
      <c r="J69">
        <v>0.93</v>
      </c>
      <c r="K69">
        <v>0.40400000000000003</v>
      </c>
      <c r="M69" t="s">
        <v>16</v>
      </c>
      <c r="N69">
        <v>-8.0399999999999999E-2</v>
      </c>
      <c r="O69">
        <v>-9.8285999999999998E-2</v>
      </c>
      <c r="P69">
        <v>-1.7879018999999999E-2</v>
      </c>
      <c r="Q69">
        <v>6.3584000000000002E-2</v>
      </c>
      <c r="R69">
        <v>6.3233999999999999E-2</v>
      </c>
      <c r="S69">
        <v>-5.5035379999999997E-3</v>
      </c>
      <c r="T69">
        <v>0.2223577907</v>
      </c>
      <c r="U69">
        <v>0.93600000000000005</v>
      </c>
      <c r="V69">
        <v>0.34</v>
      </c>
      <c r="X69" t="s">
        <v>16</v>
      </c>
      <c r="AI69" t="s">
        <v>16</v>
      </c>
      <c r="AS69" s="14"/>
    </row>
    <row r="70" spans="1:45" x14ac:dyDescent="0.25">
      <c r="A70" s="14"/>
      <c r="B70" t="s">
        <v>17</v>
      </c>
      <c r="C70">
        <v>-0.12590000000000001</v>
      </c>
      <c r="D70">
        <v>-0.13559299999999999</v>
      </c>
      <c r="E70">
        <v>-9.6468179999999997E-3</v>
      </c>
      <c r="F70">
        <v>5.7660000000000003E-3</v>
      </c>
      <c r="G70">
        <v>5.7060000000000001E-3</v>
      </c>
      <c r="H70">
        <v>-1.0482523000000001E-2</v>
      </c>
      <c r="I70">
        <v>7.6594700500000001E-2</v>
      </c>
      <c r="J70">
        <v>0.59</v>
      </c>
      <c r="K70">
        <v>1</v>
      </c>
      <c r="M70" t="s">
        <v>17</v>
      </c>
      <c r="N70">
        <v>-0.1255</v>
      </c>
      <c r="O70">
        <v>-0.134524</v>
      </c>
      <c r="P70">
        <v>-9.0590570000000006E-3</v>
      </c>
      <c r="Q70">
        <v>5.6579999999999998E-3</v>
      </c>
      <c r="R70">
        <v>5.5979999999999997E-3</v>
      </c>
      <c r="S70">
        <v>-1.0594766E-2</v>
      </c>
      <c r="T70">
        <v>7.2204001899999995E-2</v>
      </c>
      <c r="U70">
        <v>0.625</v>
      </c>
      <c r="V70">
        <v>1</v>
      </c>
      <c r="X70" t="s">
        <v>17</v>
      </c>
      <c r="AI70" t="s">
        <v>17</v>
      </c>
      <c r="AS70" s="14"/>
    </row>
    <row r="71" spans="1:45" x14ac:dyDescent="0.25">
      <c r="A71" s="14"/>
      <c r="B71" t="s">
        <v>18</v>
      </c>
      <c r="C71">
        <v>-6.9999999999999999E-4</v>
      </c>
      <c r="D71">
        <v>-1.7799999999999999E-4</v>
      </c>
      <c r="E71">
        <v>5.3019720000000001E-4</v>
      </c>
      <c r="F71">
        <v>2.9099999999999998E-3</v>
      </c>
      <c r="G71">
        <v>2.82E-3</v>
      </c>
      <c r="H71">
        <v>-3.0919421999999998E-2</v>
      </c>
      <c r="I71">
        <v>-0.74917127400000005</v>
      </c>
      <c r="J71">
        <v>0.92900000000000005</v>
      </c>
      <c r="K71">
        <v>6.5000000000000002E-2</v>
      </c>
      <c r="M71" t="s">
        <v>18</v>
      </c>
      <c r="N71">
        <v>-1.1999999999999999E-3</v>
      </c>
      <c r="O71">
        <v>-5.9900000000000003E-4</v>
      </c>
      <c r="P71">
        <v>5.9312079999999999E-4</v>
      </c>
      <c r="Q71">
        <v>2.9290000000000002E-3</v>
      </c>
      <c r="R71">
        <v>2.8519999999999999E-3</v>
      </c>
      <c r="S71">
        <v>-2.6449369E-2</v>
      </c>
      <c r="T71">
        <v>-0.497432178</v>
      </c>
      <c r="U71">
        <v>0.93500000000000005</v>
      </c>
      <c r="V71">
        <v>6.2E-2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343" priority="33" stopIfTrue="1" operator="between">
      <formula>0.9365</formula>
      <formula>0.9635</formula>
    </cfRule>
    <cfRule type="cellIs" dxfId="342" priority="34" stopIfTrue="1" operator="between">
      <formula>0</formula>
      <formula>1</formula>
    </cfRule>
    <cfRule type="cellIs" dxfId="341" priority="35" stopIfTrue="1" operator="between">
      <formula>0.8</formula>
      <formula>0.9</formula>
    </cfRule>
    <cfRule type="cellIs" dxfId="340" priority="36" stopIfTrue="1" operator="between">
      <formula>0</formula>
      <formula>0.8</formula>
    </cfRule>
  </conditionalFormatting>
  <conditionalFormatting sqref="J15:J21">
    <cfRule type="cellIs" dxfId="339" priority="25" stopIfTrue="1" operator="between">
      <formula>0.9365</formula>
      <formula>0.9635</formula>
    </cfRule>
    <cfRule type="cellIs" dxfId="338" priority="26" stopIfTrue="1" operator="between">
      <formula>0</formula>
      <formula>1</formula>
    </cfRule>
    <cfRule type="cellIs" dxfId="337" priority="27" stopIfTrue="1" operator="between">
      <formula>0.8</formula>
      <formula>0.9</formula>
    </cfRule>
    <cfRule type="cellIs" dxfId="336" priority="28" stopIfTrue="1" operator="between">
      <formula>0</formula>
      <formula>0.8</formula>
    </cfRule>
  </conditionalFormatting>
  <conditionalFormatting sqref="J25:J31">
    <cfRule type="cellIs" dxfId="335" priority="29" stopIfTrue="1" operator="between">
      <formula>0.95</formula>
      <formula>1</formula>
    </cfRule>
    <cfRule type="cellIs" dxfId="334" priority="30" stopIfTrue="1" operator="between">
      <formula>0.9</formula>
      <formula>0.95</formula>
    </cfRule>
    <cfRule type="cellIs" dxfId="333" priority="31" stopIfTrue="1" operator="between">
      <formula>0.8</formula>
      <formula>0.9</formula>
    </cfRule>
    <cfRule type="cellIs" dxfId="332" priority="32" stopIfTrue="1" operator="between">
      <formula>0</formula>
      <formula>0.8</formula>
    </cfRule>
  </conditionalFormatting>
  <conditionalFormatting sqref="J35:J41">
    <cfRule type="cellIs" dxfId="331" priority="21" stopIfTrue="1" operator="between">
      <formula>0.9365</formula>
      <formula>0.9635</formula>
    </cfRule>
    <cfRule type="cellIs" dxfId="330" priority="22" stopIfTrue="1" operator="between">
      <formula>0</formula>
      <formula>1</formula>
    </cfRule>
    <cfRule type="cellIs" dxfId="329" priority="23" stopIfTrue="1" operator="between">
      <formula>0.8</formula>
      <formula>0.9</formula>
    </cfRule>
    <cfRule type="cellIs" dxfId="328" priority="24" stopIfTrue="1" operator="between">
      <formula>0</formula>
      <formula>0.8</formula>
    </cfRule>
  </conditionalFormatting>
  <conditionalFormatting sqref="J45:J51">
    <cfRule type="cellIs" dxfId="327" priority="19" stopIfTrue="1" operator="between">
      <formula>0.8</formula>
      <formula>0.9</formula>
    </cfRule>
    <cfRule type="cellIs" dxfId="326" priority="17" stopIfTrue="1" operator="between">
      <formula>0.9365</formula>
      <formula>0.9635</formula>
    </cfRule>
    <cfRule type="cellIs" dxfId="325" priority="18" stopIfTrue="1" operator="between">
      <formula>0</formula>
      <formula>1</formula>
    </cfRule>
    <cfRule type="cellIs" dxfId="324" priority="20" stopIfTrue="1" operator="between">
      <formula>0</formula>
      <formula>0.8</formula>
    </cfRule>
  </conditionalFormatting>
  <conditionalFormatting sqref="J55:J61">
    <cfRule type="cellIs" dxfId="323" priority="13" stopIfTrue="1" operator="between">
      <formula>0.9365</formula>
      <formula>0.9635</formula>
    </cfRule>
    <cfRule type="cellIs" dxfId="322" priority="14" stopIfTrue="1" operator="between">
      <formula>0</formula>
      <formula>1</formula>
    </cfRule>
    <cfRule type="cellIs" dxfId="321" priority="15" stopIfTrue="1" operator="between">
      <formula>0.8</formula>
      <formula>0.9</formula>
    </cfRule>
    <cfRule type="cellIs" dxfId="320" priority="16" stopIfTrue="1" operator="between">
      <formula>0</formula>
      <formula>0.8</formula>
    </cfRule>
  </conditionalFormatting>
  <conditionalFormatting sqref="J65:J71">
    <cfRule type="cellIs" dxfId="319" priority="9" stopIfTrue="1" operator="between">
      <formula>0.9365</formula>
      <formula>0.9635</formula>
    </cfRule>
    <cfRule type="cellIs" dxfId="318" priority="11" stopIfTrue="1" operator="between">
      <formula>0.8</formula>
      <formula>0.9</formula>
    </cfRule>
    <cfRule type="cellIs" dxfId="317" priority="12" stopIfTrue="1" operator="between">
      <formula>0</formula>
      <formula>0.8</formula>
    </cfRule>
    <cfRule type="cellIs" dxfId="316" priority="10" stopIfTrue="1" operator="between">
      <formula>0</formula>
      <formula>1</formula>
    </cfRule>
  </conditionalFormatting>
  <conditionalFormatting sqref="U5:U11">
    <cfRule type="cellIs" dxfId="315" priority="56" stopIfTrue="1" operator="between">
      <formula>0</formula>
      <formula>0.8</formula>
    </cfRule>
    <cfRule type="cellIs" dxfId="314" priority="55" stopIfTrue="1" operator="between">
      <formula>0.8</formula>
      <formula>0.9</formula>
    </cfRule>
    <cfRule type="cellIs" dxfId="313" priority="54" stopIfTrue="1" operator="between">
      <formula>0</formula>
      <formula>1</formula>
    </cfRule>
    <cfRule type="cellIs" dxfId="312" priority="53" stopIfTrue="1" operator="between">
      <formula>0.9365</formula>
      <formula>0.9635</formula>
    </cfRule>
  </conditionalFormatting>
  <conditionalFormatting sqref="U15:U21">
    <cfRule type="cellIs" dxfId="311" priority="46" stopIfTrue="1" operator="between">
      <formula>0</formula>
      <formula>1</formula>
    </cfRule>
    <cfRule type="cellIs" dxfId="310" priority="45" stopIfTrue="1" operator="between">
      <formula>0.9365</formula>
      <formula>0.9635</formula>
    </cfRule>
    <cfRule type="cellIs" dxfId="309" priority="47" stopIfTrue="1" operator="between">
      <formula>0.8</formula>
      <formula>0.9</formula>
    </cfRule>
    <cfRule type="cellIs" dxfId="308" priority="48" stopIfTrue="1" operator="between">
      <formula>0</formula>
      <formula>0.8</formula>
    </cfRule>
  </conditionalFormatting>
  <conditionalFormatting sqref="U25:U31">
    <cfRule type="cellIs" dxfId="307" priority="49" stopIfTrue="1" operator="between">
      <formula>0.95</formula>
      <formula>1</formula>
    </cfRule>
    <cfRule type="cellIs" dxfId="306" priority="50" stopIfTrue="1" operator="between">
      <formula>0.9</formula>
      <formula>0.95</formula>
    </cfRule>
    <cfRule type="cellIs" dxfId="305" priority="51" stopIfTrue="1" operator="between">
      <formula>0.8</formula>
      <formula>0.9</formula>
    </cfRule>
    <cfRule type="cellIs" dxfId="304" priority="52" stopIfTrue="1" operator="between">
      <formula>0</formula>
      <formula>0.8</formula>
    </cfRule>
  </conditionalFormatting>
  <conditionalFormatting sqref="U35:U41">
    <cfRule type="cellIs" dxfId="303" priority="41" stopIfTrue="1" operator="between">
      <formula>0.9365</formula>
      <formula>0.9635</formula>
    </cfRule>
    <cfRule type="cellIs" dxfId="302" priority="42" stopIfTrue="1" operator="between">
      <formula>0</formula>
      <formula>1</formula>
    </cfRule>
    <cfRule type="cellIs" dxfId="301" priority="43" stopIfTrue="1" operator="between">
      <formula>0.8</formula>
      <formula>0.9</formula>
    </cfRule>
    <cfRule type="cellIs" dxfId="300" priority="44" stopIfTrue="1" operator="between">
      <formula>0</formula>
      <formula>0.8</formula>
    </cfRule>
  </conditionalFormatting>
  <conditionalFormatting sqref="U45:U51">
    <cfRule type="cellIs" dxfId="299" priority="38" stopIfTrue="1" operator="between">
      <formula>0</formula>
      <formula>1</formula>
    </cfRule>
    <cfRule type="cellIs" dxfId="298" priority="37" stopIfTrue="1" operator="between">
      <formula>0.9365</formula>
      <formula>0.9635</formula>
    </cfRule>
    <cfRule type="cellIs" dxfId="297" priority="39" stopIfTrue="1" operator="between">
      <formula>0.8</formula>
      <formula>0.9</formula>
    </cfRule>
    <cfRule type="cellIs" dxfId="296" priority="40" stopIfTrue="1" operator="between">
      <formula>0</formula>
      <formula>0.8</formula>
    </cfRule>
  </conditionalFormatting>
  <conditionalFormatting sqref="U55:U61">
    <cfRule type="cellIs" dxfId="295" priority="2" stopIfTrue="1" operator="between">
      <formula>0</formula>
      <formula>1</formula>
    </cfRule>
    <cfRule type="cellIs" dxfId="294" priority="3" stopIfTrue="1" operator="between">
      <formula>0.8</formula>
      <formula>0.9</formula>
    </cfRule>
    <cfRule type="cellIs" dxfId="293" priority="4" stopIfTrue="1" operator="between">
      <formula>0</formula>
      <formula>0.8</formula>
    </cfRule>
    <cfRule type="cellIs" dxfId="292" priority="1" stopIfTrue="1" operator="between">
      <formula>0.9365</formula>
      <formula>0.9635</formula>
    </cfRule>
  </conditionalFormatting>
  <conditionalFormatting sqref="U65:U71">
    <cfRule type="cellIs" dxfId="291" priority="5" stopIfTrue="1" operator="between">
      <formula>0.9365</formula>
      <formula>0.9635</formula>
    </cfRule>
    <cfRule type="cellIs" dxfId="290" priority="8" stopIfTrue="1" operator="between">
      <formula>0</formula>
      <formula>0.8</formula>
    </cfRule>
    <cfRule type="cellIs" dxfId="289" priority="7" stopIfTrue="1" operator="between">
      <formula>0.8</formula>
      <formula>0.9</formula>
    </cfRule>
    <cfRule type="cellIs" dxfId="288" priority="6" stopIfTrue="1" operator="between">
      <formula>0</formula>
      <formula>1</formula>
    </cfRule>
  </conditionalFormatting>
  <conditionalFormatting sqref="AF5:AF11">
    <cfRule type="cellIs" dxfId="287" priority="221" stopIfTrue="1" operator="between">
      <formula>0.9365</formula>
      <formula>0.9635</formula>
    </cfRule>
    <cfRule type="cellIs" dxfId="286" priority="222" stopIfTrue="1" operator="between">
      <formula>0.9095</formula>
      <formula>0.9905</formula>
    </cfRule>
    <cfRule type="cellIs" dxfId="285" priority="223" stopIfTrue="1" operator="between">
      <formula>0</formula>
      <formula>1</formula>
    </cfRule>
    <cfRule type="cellIs" dxfId="284" priority="224" stopIfTrue="1" operator="between">
      <formula>0</formula>
      <formula>0.8</formula>
    </cfRule>
  </conditionalFormatting>
  <conditionalFormatting sqref="AF15:AF21">
    <cfRule type="cellIs" dxfId="283" priority="225" stopIfTrue="1" operator="between">
      <formula>0.9365</formula>
      <formula>0.9635</formula>
    </cfRule>
    <cfRule type="cellIs" dxfId="282" priority="226" stopIfTrue="1" operator="between">
      <formula>0.9095</formula>
      <formula>0.9905</formula>
    </cfRule>
    <cfRule type="cellIs" dxfId="281" priority="227" stopIfTrue="1" operator="between">
      <formula>0</formula>
      <formula>1</formula>
    </cfRule>
    <cfRule type="cellIs" dxfId="280" priority="228" stopIfTrue="1" operator="between">
      <formula>0</formula>
      <formula>0.8</formula>
    </cfRule>
  </conditionalFormatting>
  <conditionalFormatting sqref="AF25:AF31">
    <cfRule type="cellIs" dxfId="279" priority="248" stopIfTrue="1" operator="between">
      <formula>0</formula>
      <formula>0.8</formula>
    </cfRule>
    <cfRule type="cellIs" dxfId="278" priority="245" stopIfTrue="1" operator="between">
      <formula>0.95</formula>
      <formula>1</formula>
    </cfRule>
    <cfRule type="cellIs" dxfId="277" priority="246" stopIfTrue="1" operator="between">
      <formula>0.9</formula>
      <formula>0.95</formula>
    </cfRule>
    <cfRule type="cellIs" dxfId="276" priority="247" stopIfTrue="1" operator="between">
      <formula>0.8</formula>
      <formula>0.9</formula>
    </cfRule>
  </conditionalFormatting>
  <conditionalFormatting sqref="AF35:AF41">
    <cfRule type="cellIs" dxfId="275" priority="229" stopIfTrue="1" operator="between">
      <formula>0.9365</formula>
      <formula>0.9635</formula>
    </cfRule>
    <cfRule type="cellIs" dxfId="274" priority="230" stopIfTrue="1" operator="between">
      <formula>0.9095</formula>
      <formula>0.9905</formula>
    </cfRule>
    <cfRule type="cellIs" dxfId="273" priority="231" stopIfTrue="1" operator="between">
      <formula>0</formula>
      <formula>1</formula>
    </cfRule>
    <cfRule type="cellIs" dxfId="272" priority="232" stopIfTrue="1" operator="between">
      <formula>0</formula>
      <formula>0.8</formula>
    </cfRule>
  </conditionalFormatting>
  <conditionalFormatting sqref="AF45:AF51">
    <cfRule type="cellIs" dxfId="271" priority="236" stopIfTrue="1" operator="between">
      <formula>0</formula>
      <formula>0.8</formula>
    </cfRule>
    <cfRule type="cellIs" dxfId="270" priority="234" stopIfTrue="1" operator="between">
      <formula>0.9095</formula>
      <formula>0.9905</formula>
    </cfRule>
    <cfRule type="cellIs" dxfId="269" priority="233" stopIfTrue="1" operator="between">
      <formula>0.9365</formula>
      <formula>0.9635</formula>
    </cfRule>
    <cfRule type="cellIs" dxfId="268" priority="235" stopIfTrue="1" operator="between">
      <formula>0</formula>
      <formula>1</formula>
    </cfRule>
  </conditionalFormatting>
  <conditionalFormatting sqref="AF55:AF61">
    <cfRule type="cellIs" dxfId="267" priority="241" stopIfTrue="1" operator="between">
      <formula>0.9365</formula>
      <formula>0.9635</formula>
    </cfRule>
    <cfRule type="cellIs" dxfId="266" priority="242" stopIfTrue="1" operator="between">
      <formula>0.9095</formula>
      <formula>0.9905</formula>
    </cfRule>
    <cfRule type="cellIs" dxfId="265" priority="243" stopIfTrue="1" operator="between">
      <formula>0</formula>
      <formula>1</formula>
    </cfRule>
    <cfRule type="cellIs" dxfId="264" priority="244" stopIfTrue="1" operator="between">
      <formula>0</formula>
      <formula>0.8</formula>
    </cfRule>
  </conditionalFormatting>
  <conditionalFormatting sqref="AF65:AF71">
    <cfRule type="cellIs" dxfId="263" priority="238" stopIfTrue="1" operator="between">
      <formula>0.9095</formula>
      <formula>0.9905</formula>
    </cfRule>
    <cfRule type="cellIs" dxfId="262" priority="237" stopIfTrue="1" operator="between">
      <formula>0.9365</formula>
      <formula>0.9635</formula>
    </cfRule>
    <cfRule type="cellIs" dxfId="261" priority="239" stopIfTrue="1" operator="between">
      <formula>0</formula>
      <formula>1</formula>
    </cfRule>
    <cfRule type="cellIs" dxfId="260" priority="240" stopIfTrue="1" operator="between">
      <formula>0</formula>
      <formula>0.8</formula>
    </cfRule>
  </conditionalFormatting>
  <conditionalFormatting sqref="AQ5:AQ11">
    <cfRule type="cellIs" dxfId="259" priority="193" stopIfTrue="1" operator="between">
      <formula>0.9365</formula>
      <formula>0.9635</formula>
    </cfRule>
    <cfRule type="cellIs" dxfId="258" priority="194" stopIfTrue="1" operator="between">
      <formula>0.9095</formula>
      <formula>0.9905</formula>
    </cfRule>
    <cfRule type="cellIs" dxfId="257" priority="195" stopIfTrue="1" operator="between">
      <formula>0</formula>
      <formula>1</formula>
    </cfRule>
    <cfRule type="cellIs" dxfId="256" priority="196" stopIfTrue="1" operator="between">
      <formula>0</formula>
      <formula>0.8</formula>
    </cfRule>
  </conditionalFormatting>
  <conditionalFormatting sqref="AQ15:AQ21">
    <cfRule type="cellIs" dxfId="255" priority="197" stopIfTrue="1" operator="between">
      <formula>0.9365</formula>
      <formula>0.9635</formula>
    </cfRule>
    <cfRule type="cellIs" dxfId="254" priority="198" stopIfTrue="1" operator="between">
      <formula>0.9095</formula>
      <formula>0.9905</formula>
    </cfRule>
    <cfRule type="cellIs" dxfId="253" priority="199" stopIfTrue="1" operator="between">
      <formula>0</formula>
      <formula>1</formula>
    </cfRule>
    <cfRule type="cellIs" dxfId="252" priority="200" stopIfTrue="1" operator="between">
      <formula>0</formula>
      <formula>0.8</formula>
    </cfRule>
  </conditionalFormatting>
  <conditionalFormatting sqref="AQ25:AQ31">
    <cfRule type="cellIs" dxfId="251" priority="220" stopIfTrue="1" operator="between">
      <formula>0</formula>
      <formula>0.8</formula>
    </cfRule>
    <cfRule type="cellIs" dxfId="250" priority="217" stopIfTrue="1" operator="between">
      <formula>0.95</formula>
      <formula>1</formula>
    </cfRule>
    <cfRule type="cellIs" dxfId="249" priority="218" stopIfTrue="1" operator="between">
      <formula>0.9</formula>
      <formula>0.95</formula>
    </cfRule>
    <cfRule type="cellIs" dxfId="248" priority="219" stopIfTrue="1" operator="between">
      <formula>0.8</formula>
      <formula>0.9</formula>
    </cfRule>
  </conditionalFormatting>
  <conditionalFormatting sqref="AQ35:AQ41">
    <cfRule type="cellIs" dxfId="247" priority="201" stopIfTrue="1" operator="between">
      <formula>0.9365</formula>
      <formula>0.9635</formula>
    </cfRule>
    <cfRule type="cellIs" dxfId="246" priority="202" stopIfTrue="1" operator="between">
      <formula>0.9095</formula>
      <formula>0.9905</formula>
    </cfRule>
    <cfRule type="cellIs" dxfId="245" priority="203" stopIfTrue="1" operator="between">
      <formula>0</formula>
      <formula>1</formula>
    </cfRule>
    <cfRule type="cellIs" dxfId="244" priority="204" stopIfTrue="1" operator="between">
      <formula>0</formula>
      <formula>0.8</formula>
    </cfRule>
  </conditionalFormatting>
  <conditionalFormatting sqref="AQ45:AQ51">
    <cfRule type="cellIs" dxfId="243" priority="207" stopIfTrue="1" operator="between">
      <formula>0</formula>
      <formula>1</formula>
    </cfRule>
    <cfRule type="cellIs" dxfId="242" priority="208" stopIfTrue="1" operator="between">
      <formula>0</formula>
      <formula>0.8</formula>
    </cfRule>
    <cfRule type="cellIs" dxfId="241" priority="205" stopIfTrue="1" operator="between">
      <formula>0.9365</formula>
      <formula>0.9635</formula>
    </cfRule>
    <cfRule type="cellIs" dxfId="240" priority="206" stopIfTrue="1" operator="between">
      <formula>0.9095</formula>
      <formula>0.9905</formula>
    </cfRule>
  </conditionalFormatting>
  <conditionalFormatting sqref="AQ55:AQ61">
    <cfRule type="cellIs" dxfId="239" priority="215" stopIfTrue="1" operator="between">
      <formula>0</formula>
      <formula>1</formula>
    </cfRule>
    <cfRule type="cellIs" dxfId="238" priority="214" stopIfTrue="1" operator="between">
      <formula>0.9095</formula>
      <formula>0.9905</formula>
    </cfRule>
    <cfRule type="cellIs" dxfId="237" priority="216" stopIfTrue="1" operator="between">
      <formula>0</formula>
      <formula>0.8</formula>
    </cfRule>
    <cfRule type="cellIs" dxfId="236" priority="213" stopIfTrue="1" operator="between">
      <formula>0.9365</formula>
      <formula>0.9635</formula>
    </cfRule>
  </conditionalFormatting>
  <conditionalFormatting sqref="AQ65:AQ71">
    <cfRule type="cellIs" dxfId="235" priority="209" stopIfTrue="1" operator="between">
      <formula>0.9365</formula>
      <formula>0.9635</formula>
    </cfRule>
    <cfRule type="cellIs" dxfId="234" priority="210" stopIfTrue="1" operator="between">
      <formula>0.9095</formula>
      <formula>0.9905</formula>
    </cfRule>
    <cfRule type="cellIs" dxfId="233" priority="211" stopIfTrue="1" operator="between">
      <formula>0</formula>
      <formula>1</formula>
    </cfRule>
    <cfRule type="cellIs" dxfId="232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DB4-0AE3-4399-9739-ACA6295B5349}">
  <dimension ref="A1:AU71"/>
  <sheetViews>
    <sheetView topLeftCell="A43" zoomScaleNormal="100" workbookViewId="0">
      <selection activeCell="A43" sqref="A43:A51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4" width="9.140625" hidden="1" customWidth="1"/>
    <col min="25" max="33" width="0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440</v>
      </c>
      <c r="J3" s="12" t="str">
        <f>INDEX('Method Codes'!$B:$B, MATCH(B3, 'Method Codes'!$I:$I,0))</f>
        <v>IND</v>
      </c>
      <c r="K3" s="12" t="str">
        <f>INDEX('Method Codes'!$H:$H, MATCH(B3, 'Method Codes'!$I:$I,0))</f>
        <v>1H</v>
      </c>
      <c r="M3" s="1" t="s">
        <v>506</v>
      </c>
      <c r="U3" s="12" t="str">
        <f>INDEX('Method Codes'!$B:$B, MATCH(M3, 'Method Codes'!$I:$I,0))</f>
        <v>EXCH</v>
      </c>
      <c r="V3" s="12" t="str">
        <f>INDEX('Method Codes'!$H:$H, MATCH(M3, 'Method Codes'!$I:$I,0))</f>
        <v>1H</v>
      </c>
      <c r="X3" s="1" t="s">
        <v>603</v>
      </c>
      <c r="AI3" s="1" t="s">
        <v>604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3.1270639999999998</v>
      </c>
      <c r="E5">
        <v>-8.3268460000000006E-3</v>
      </c>
      <c r="F5">
        <v>0.17699500000000001</v>
      </c>
      <c r="G5">
        <v>0.173342</v>
      </c>
      <c r="H5">
        <v>-2.0638275000000001E-2</v>
      </c>
      <c r="I5">
        <v>-2.6557600000000001E-3</v>
      </c>
      <c r="J5">
        <v>0.94799999999999995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">
        <v>3.1548660000000002</v>
      </c>
      <c r="P5">
        <v>9.783598000000001E-4</v>
      </c>
      <c r="Q5">
        <v>0.17757300000000001</v>
      </c>
      <c r="R5">
        <v>0.174896</v>
      </c>
      <c r="S5">
        <v>-1.5076724E-2</v>
      </c>
      <c r="T5">
        <v>3.1020750000000001E-4</v>
      </c>
      <c r="U5">
        <v>0.94499999999999995</v>
      </c>
      <c r="V5">
        <v>0</v>
      </c>
      <c r="X5" t="s">
        <v>12</v>
      </c>
      <c r="AI5" t="s">
        <v>12</v>
      </c>
      <c r="AS5" s="14"/>
      <c r="AU5" t="s">
        <v>100</v>
      </c>
    </row>
    <row r="6" spans="1:47" x14ac:dyDescent="0.25">
      <c r="A6" s="14"/>
      <c r="B6" t="s">
        <v>13</v>
      </c>
      <c r="C6">
        <v>-0.44119999999999998</v>
      </c>
      <c r="D6">
        <v>-0.46162599999999998</v>
      </c>
      <c r="E6">
        <v>-2.0419333000000001E-2</v>
      </c>
      <c r="F6">
        <v>6.6502000000000006E-2</v>
      </c>
      <c r="G6">
        <v>6.4954999999999999E-2</v>
      </c>
      <c r="H6">
        <v>-2.3257107999999999E-2</v>
      </c>
      <c r="I6">
        <v>4.6280693800000001E-2</v>
      </c>
      <c r="J6">
        <v>0.92900000000000005</v>
      </c>
      <c r="K6">
        <v>0</v>
      </c>
      <c r="M6" t="s">
        <v>13</v>
      </c>
      <c r="N6">
        <v>-0.434</v>
      </c>
      <c r="O6">
        <v>-0.45130599999999998</v>
      </c>
      <c r="P6">
        <v>-1.7346245999999999E-2</v>
      </c>
      <c r="Q6">
        <v>6.6822999999999994E-2</v>
      </c>
      <c r="R6">
        <v>6.5694000000000002E-2</v>
      </c>
      <c r="S6">
        <v>-1.6898508E-2</v>
      </c>
      <c r="T6">
        <v>3.9971989300000003E-2</v>
      </c>
      <c r="U6">
        <v>0.93400000000000005</v>
      </c>
      <c r="V6">
        <v>0</v>
      </c>
      <c r="X6" t="s">
        <v>13</v>
      </c>
      <c r="AI6" t="s">
        <v>13</v>
      </c>
      <c r="AS6" s="14"/>
    </row>
    <row r="7" spans="1:47" x14ac:dyDescent="0.25">
      <c r="A7" s="14"/>
      <c r="B7" t="s">
        <v>14</v>
      </c>
      <c r="C7">
        <v>-7.3000000000000001E-3</v>
      </c>
      <c r="D7">
        <v>-8.6879999999999995E-3</v>
      </c>
      <c r="E7">
        <v>-1.37397E-3</v>
      </c>
      <c r="F7">
        <v>3.5756000000000003E-2</v>
      </c>
      <c r="G7">
        <v>3.9083E-2</v>
      </c>
      <c r="H7">
        <v>9.3056678099999998E-2</v>
      </c>
      <c r="I7">
        <v>0.18785565439999999</v>
      </c>
      <c r="J7">
        <v>0.97</v>
      </c>
      <c r="K7">
        <v>0</v>
      </c>
      <c r="M7" t="s">
        <v>14</v>
      </c>
      <c r="N7">
        <v>-7.6E-3</v>
      </c>
      <c r="O7">
        <v>-8.4019999999999997E-3</v>
      </c>
      <c r="P7">
        <v>-7.84463E-4</v>
      </c>
      <c r="Q7">
        <v>3.6095000000000002E-2</v>
      </c>
      <c r="R7">
        <v>3.9631E-2</v>
      </c>
      <c r="S7">
        <v>9.7981854500000007E-2</v>
      </c>
      <c r="T7">
        <v>0.10297484210000001</v>
      </c>
      <c r="U7">
        <v>0.97199999999999998</v>
      </c>
      <c r="V7">
        <v>0</v>
      </c>
      <c r="X7" t="s">
        <v>14</v>
      </c>
      <c r="AI7" t="s">
        <v>14</v>
      </c>
      <c r="AS7" s="14"/>
      <c r="AU7" t="s">
        <v>101</v>
      </c>
    </row>
    <row r="8" spans="1:47" x14ac:dyDescent="0.25">
      <c r="A8" s="14"/>
      <c r="B8" t="s">
        <v>15</v>
      </c>
      <c r="C8">
        <v>-0.45419999999999999</v>
      </c>
      <c r="D8">
        <v>-0.45</v>
      </c>
      <c r="E8">
        <v>4.1884382000000001E-3</v>
      </c>
      <c r="F8">
        <v>4.2674999999999998E-2</v>
      </c>
      <c r="G8">
        <v>4.1447999999999999E-2</v>
      </c>
      <c r="H8">
        <v>-2.8745194000000002E-2</v>
      </c>
      <c r="I8">
        <v>-9.2218149999999995E-3</v>
      </c>
      <c r="J8">
        <v>0.94</v>
      </c>
      <c r="K8">
        <v>0</v>
      </c>
      <c r="M8" t="s">
        <v>15</v>
      </c>
      <c r="N8">
        <v>-0.4551</v>
      </c>
      <c r="O8">
        <v>-0.45345099999999999</v>
      </c>
      <c r="P8">
        <v>1.6808412E-3</v>
      </c>
      <c r="Q8">
        <v>4.2999000000000002E-2</v>
      </c>
      <c r="R8">
        <v>4.2105999999999998E-2</v>
      </c>
      <c r="S8">
        <v>-2.0771966999999999E-2</v>
      </c>
      <c r="T8">
        <v>-3.6930859999999999E-3</v>
      </c>
      <c r="U8">
        <v>0.93100000000000005</v>
      </c>
      <c r="V8">
        <v>0</v>
      </c>
      <c r="X8" t="s">
        <v>15</v>
      </c>
      <c r="AI8" t="s">
        <v>15</v>
      </c>
      <c r="AS8" s="14"/>
      <c r="AU8" t="s">
        <v>102</v>
      </c>
    </row>
    <row r="9" spans="1:47" x14ac:dyDescent="0.25">
      <c r="A9" s="14"/>
      <c r="B9" t="s">
        <v>16</v>
      </c>
      <c r="C9">
        <v>-8.2500000000000004E-2</v>
      </c>
      <c r="D9">
        <v>-8.6259000000000002E-2</v>
      </c>
      <c r="E9">
        <v>-3.7168349999999999E-3</v>
      </c>
      <c r="F9">
        <v>4.7643999999999999E-2</v>
      </c>
      <c r="G9">
        <v>4.9463E-2</v>
      </c>
      <c r="H9">
        <v>3.8192367499999998E-2</v>
      </c>
      <c r="I9">
        <v>4.5029390400000001E-2</v>
      </c>
      <c r="J9">
        <v>0.95899999999999996</v>
      </c>
      <c r="K9">
        <v>0</v>
      </c>
      <c r="M9" t="s">
        <v>16</v>
      </c>
      <c r="N9">
        <v>-8.0399999999999999E-2</v>
      </c>
      <c r="O9">
        <v>-8.1888000000000002E-2</v>
      </c>
      <c r="P9">
        <v>-1.4818679999999999E-3</v>
      </c>
      <c r="Q9">
        <v>4.7796999999999999E-2</v>
      </c>
      <c r="R9">
        <v>5.0140999999999998E-2</v>
      </c>
      <c r="S9">
        <v>4.9026539700000003E-2</v>
      </c>
      <c r="T9">
        <v>1.8429695999999999E-2</v>
      </c>
      <c r="U9">
        <v>0.95699999999999996</v>
      </c>
      <c r="V9">
        <v>0</v>
      </c>
      <c r="X9" t="s">
        <v>16</v>
      </c>
      <c r="AI9" t="s">
        <v>16</v>
      </c>
      <c r="AS9" s="14"/>
    </row>
    <row r="10" spans="1:47" x14ac:dyDescent="0.25">
      <c r="A10" s="14"/>
      <c r="B10" t="s">
        <v>17</v>
      </c>
      <c r="C10">
        <v>-0.12590000000000001</v>
      </c>
      <c r="D10">
        <v>-0.1244</v>
      </c>
      <c r="E10">
        <v>1.5458341999999999E-3</v>
      </c>
      <c r="F10">
        <v>4.0800000000000003E-3</v>
      </c>
      <c r="G10">
        <v>4.1989999999999996E-3</v>
      </c>
      <c r="H10">
        <v>2.9161221599999999E-2</v>
      </c>
      <c r="I10">
        <v>-1.2273757999999999E-2</v>
      </c>
      <c r="J10">
        <v>0.94399999999999995</v>
      </c>
      <c r="K10">
        <v>0</v>
      </c>
      <c r="M10" t="s">
        <v>17</v>
      </c>
      <c r="N10">
        <v>-0.1255</v>
      </c>
      <c r="O10">
        <v>-0.123893</v>
      </c>
      <c r="P10">
        <v>1.5713522000000001E-3</v>
      </c>
      <c r="Q10">
        <v>4.0810000000000004E-3</v>
      </c>
      <c r="R10">
        <v>4.1879999999999999E-3</v>
      </c>
      <c r="S10">
        <v>2.6331029999999998E-2</v>
      </c>
      <c r="T10">
        <v>-1.2524252E-2</v>
      </c>
      <c r="U10">
        <v>0.94199999999999995</v>
      </c>
      <c r="V10">
        <v>0</v>
      </c>
      <c r="X10" t="s">
        <v>17</v>
      </c>
      <c r="AI10" t="s">
        <v>17</v>
      </c>
      <c r="AS10" s="14"/>
    </row>
    <row r="11" spans="1:47" x14ac:dyDescent="0.25">
      <c r="A11" s="14"/>
      <c r="B11" t="s">
        <v>18</v>
      </c>
      <c r="C11">
        <v>-6.9999999999999999E-4</v>
      </c>
      <c r="D11">
        <v>-9.1600000000000004E-4</v>
      </c>
      <c r="E11">
        <v>-2.07989E-4</v>
      </c>
      <c r="F11">
        <v>2.042E-3</v>
      </c>
      <c r="G11">
        <v>2.1670000000000001E-3</v>
      </c>
      <c r="H11">
        <v>6.1071194799999999E-2</v>
      </c>
      <c r="I11">
        <v>0.29388930940000002</v>
      </c>
      <c r="J11">
        <v>0.96799999999999997</v>
      </c>
      <c r="K11">
        <v>0</v>
      </c>
      <c r="M11" t="s">
        <v>18</v>
      </c>
      <c r="N11">
        <v>-1.1999999999999999E-3</v>
      </c>
      <c r="O11">
        <v>-1.4250000000000001E-3</v>
      </c>
      <c r="P11">
        <v>-2.3284299999999999E-4</v>
      </c>
      <c r="Q11">
        <v>1.9729999999999999E-3</v>
      </c>
      <c r="R11">
        <v>2.127E-3</v>
      </c>
      <c r="S11">
        <v>7.7947618900000001E-2</v>
      </c>
      <c r="T11">
        <v>0.19527794179999999</v>
      </c>
      <c r="U11">
        <v>0.96899999999999997</v>
      </c>
      <c r="V11">
        <v>0</v>
      </c>
      <c r="X11" t="s">
        <v>18</v>
      </c>
      <c r="AI11" t="s">
        <v>18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454</v>
      </c>
      <c r="J13" s="12" t="str">
        <f>INDEX('Method Codes'!$B:$B, MATCH(B13, 'Method Codes'!$I:$I,0))</f>
        <v>IND</v>
      </c>
      <c r="K13" s="12" t="str">
        <f>INDEX('Method Codes'!H:H, MATCH(B13, 'Method Codes'!I:I,0))</f>
        <v>2N</v>
      </c>
      <c r="M13" s="1" t="s">
        <v>517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2N</v>
      </c>
      <c r="X13" s="1" t="s">
        <v>605</v>
      </c>
      <c r="AI13" s="1" t="s">
        <v>606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2.9935969999999998</v>
      </c>
      <c r="E15">
        <v>-0.141794113</v>
      </c>
      <c r="F15">
        <v>0.17801600000000001</v>
      </c>
      <c r="G15">
        <v>0.170738</v>
      </c>
      <c r="H15">
        <v>-4.0881569E-2</v>
      </c>
      <c r="I15">
        <v>-4.5223741999999997E-2</v>
      </c>
      <c r="J15">
        <v>0.85099999999999998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15">
        <v>3.0130170000000001</v>
      </c>
      <c r="P15">
        <v>-0.14087112800000001</v>
      </c>
      <c r="Q15">
        <v>0.17347899999999999</v>
      </c>
      <c r="R15">
        <v>0.16761100000000001</v>
      </c>
      <c r="S15">
        <v>-3.3829123000000003E-2</v>
      </c>
      <c r="T15">
        <v>-4.4665861000000001E-2</v>
      </c>
      <c r="U15">
        <v>0.86</v>
      </c>
      <c r="V15">
        <v>1</v>
      </c>
      <c r="X15" t="s">
        <v>12</v>
      </c>
      <c r="AI15" t="s">
        <v>12</v>
      </c>
      <c r="AS15" s="14"/>
      <c r="AU15" t="s">
        <v>100</v>
      </c>
    </row>
    <row r="16" spans="1:47" x14ac:dyDescent="0.25">
      <c r="A16" s="14"/>
      <c r="B16" t="s">
        <v>13</v>
      </c>
      <c r="C16">
        <v>-0.44119999999999998</v>
      </c>
      <c r="D16">
        <v>-0.45228499999999999</v>
      </c>
      <c r="E16">
        <v>-1.107903E-2</v>
      </c>
      <c r="F16">
        <v>6.8837999999999996E-2</v>
      </c>
      <c r="G16">
        <v>6.5174999999999997E-2</v>
      </c>
      <c r="H16">
        <v>-5.3213550999999998E-2</v>
      </c>
      <c r="I16">
        <v>2.5110772E-2</v>
      </c>
      <c r="J16">
        <v>0.93100000000000005</v>
      </c>
      <c r="K16">
        <v>1</v>
      </c>
      <c r="M16" t="s">
        <v>13</v>
      </c>
      <c r="N16">
        <v>-0.434</v>
      </c>
      <c r="O16">
        <v>-0.44242399999999998</v>
      </c>
      <c r="P16">
        <v>-8.4644300000000002E-3</v>
      </c>
      <c r="Q16">
        <v>6.8055000000000004E-2</v>
      </c>
      <c r="R16">
        <v>6.4460000000000003E-2</v>
      </c>
      <c r="S16">
        <v>-5.2824844000000003E-2</v>
      </c>
      <c r="T16">
        <v>1.9505092200000001E-2</v>
      </c>
      <c r="U16">
        <v>0.93300000000000005</v>
      </c>
      <c r="V16">
        <v>1</v>
      </c>
      <c r="X16" t="s">
        <v>13</v>
      </c>
      <c r="AI16" t="s">
        <v>13</v>
      </c>
      <c r="AS16" s="14"/>
    </row>
    <row r="17" spans="1:47" x14ac:dyDescent="0.25">
      <c r="A17" s="14"/>
      <c r="B17" t="s">
        <v>14</v>
      </c>
      <c r="C17">
        <v>-7.3000000000000001E-3</v>
      </c>
      <c r="D17">
        <v>-1.407E-3</v>
      </c>
      <c r="E17">
        <v>5.9066531999999996E-3</v>
      </c>
      <c r="F17">
        <v>3.9234999999999999E-2</v>
      </c>
      <c r="G17">
        <v>3.9726999999999998E-2</v>
      </c>
      <c r="H17">
        <v>1.2538576100000001E-2</v>
      </c>
      <c r="I17">
        <v>-0.80758521699999997</v>
      </c>
      <c r="J17">
        <v>0.95199999999999996</v>
      </c>
      <c r="K17">
        <v>4.7E-2</v>
      </c>
      <c r="M17" t="s">
        <v>14</v>
      </c>
      <c r="N17">
        <v>-7.6E-3</v>
      </c>
      <c r="O17">
        <v>-7.7499999999999997E-4</v>
      </c>
      <c r="P17">
        <v>6.8426551E-3</v>
      </c>
      <c r="Q17">
        <v>3.8975999999999997E-2</v>
      </c>
      <c r="R17">
        <v>3.9465E-2</v>
      </c>
      <c r="S17">
        <v>1.2538955900000001E-2</v>
      </c>
      <c r="T17">
        <v>-0.89822068700000002</v>
      </c>
      <c r="U17">
        <v>0.94699999999999995</v>
      </c>
      <c r="V17">
        <v>5.1999999999999998E-2</v>
      </c>
      <c r="X17" t="s">
        <v>14</v>
      </c>
      <c r="AI17" t="s">
        <v>14</v>
      </c>
      <c r="AS17" s="14"/>
    </row>
    <row r="18" spans="1:47" x14ac:dyDescent="0.25">
      <c r="A18" s="14"/>
      <c r="B18" t="s">
        <v>15</v>
      </c>
      <c r="C18">
        <v>-0.45419999999999999</v>
      </c>
      <c r="D18">
        <v>-0.417879</v>
      </c>
      <c r="E18">
        <v>3.6308788000000002E-2</v>
      </c>
      <c r="F18">
        <v>4.2546E-2</v>
      </c>
      <c r="G18">
        <v>4.0902000000000001E-2</v>
      </c>
      <c r="H18">
        <v>-3.8630324000000001E-2</v>
      </c>
      <c r="I18">
        <v>-7.9942190999999996E-2</v>
      </c>
      <c r="J18">
        <v>0.84699999999999998</v>
      </c>
      <c r="K18">
        <v>1</v>
      </c>
      <c r="M18" t="s">
        <v>15</v>
      </c>
      <c r="N18">
        <v>-0.4551</v>
      </c>
      <c r="O18">
        <v>-0.419711</v>
      </c>
      <c r="P18">
        <v>3.54212338E-2</v>
      </c>
      <c r="Q18">
        <v>4.1785999999999997E-2</v>
      </c>
      <c r="R18">
        <v>4.0502000000000003E-2</v>
      </c>
      <c r="S18">
        <v>-3.0738550999999999E-2</v>
      </c>
      <c r="T18">
        <v>-7.7826305999999998E-2</v>
      </c>
      <c r="U18">
        <v>0.85</v>
      </c>
      <c r="V18">
        <v>1</v>
      </c>
      <c r="X18" t="s">
        <v>15</v>
      </c>
      <c r="AI18" t="s">
        <v>15</v>
      </c>
      <c r="AS18" s="14"/>
    </row>
    <row r="19" spans="1:47" x14ac:dyDescent="0.25">
      <c r="A19" s="14"/>
      <c r="B19" t="s">
        <v>16</v>
      </c>
      <c r="C19">
        <v>-8.2500000000000004E-2</v>
      </c>
      <c r="D19">
        <v>-0.109432</v>
      </c>
      <c r="E19">
        <v>-2.6889863E-2</v>
      </c>
      <c r="F19">
        <v>5.0642E-2</v>
      </c>
      <c r="G19">
        <v>5.0227000000000001E-2</v>
      </c>
      <c r="H19">
        <v>-8.1986049999999994E-3</v>
      </c>
      <c r="I19">
        <v>0.32577025030000001</v>
      </c>
      <c r="J19">
        <v>0.92</v>
      </c>
      <c r="K19">
        <v>0.59199999999999997</v>
      </c>
      <c r="M19" t="s">
        <v>16</v>
      </c>
      <c r="N19">
        <v>-8.0399999999999999E-2</v>
      </c>
      <c r="O19">
        <v>-0.10921400000000001</v>
      </c>
      <c r="P19">
        <v>-2.8807356999999999E-2</v>
      </c>
      <c r="Q19">
        <v>5.0182999999999998E-2</v>
      </c>
      <c r="R19">
        <v>4.9716000000000003E-2</v>
      </c>
      <c r="S19">
        <v>-9.3225449999999998E-3</v>
      </c>
      <c r="T19">
        <v>0.35827134150000001</v>
      </c>
      <c r="U19">
        <v>0.90600000000000003</v>
      </c>
      <c r="V19">
        <v>0.61</v>
      </c>
      <c r="X19" t="s">
        <v>16</v>
      </c>
      <c r="AI19" t="s">
        <v>16</v>
      </c>
      <c r="AS19" s="14"/>
    </row>
    <row r="20" spans="1:47" x14ac:dyDescent="0.25">
      <c r="A20" s="14"/>
      <c r="B20" t="s">
        <v>17</v>
      </c>
      <c r="C20">
        <v>-0.12590000000000001</v>
      </c>
      <c r="D20">
        <v>-0.120162</v>
      </c>
      <c r="E20">
        <v>5.7838871000000002E-3</v>
      </c>
      <c r="F20">
        <v>4.1929999999999997E-3</v>
      </c>
      <c r="G20">
        <v>4.2160000000000001E-3</v>
      </c>
      <c r="H20">
        <v>5.6395157000000001E-3</v>
      </c>
      <c r="I20">
        <v>-4.5923443000000001E-2</v>
      </c>
      <c r="J20">
        <v>0.71299999999999997</v>
      </c>
      <c r="K20">
        <v>1</v>
      </c>
      <c r="M20" t="s">
        <v>17</v>
      </c>
      <c r="N20">
        <v>-0.1255</v>
      </c>
      <c r="O20">
        <v>-0.120508</v>
      </c>
      <c r="P20">
        <v>4.9572009999999996E-3</v>
      </c>
      <c r="Q20">
        <v>4.1159999999999999E-3</v>
      </c>
      <c r="R20">
        <v>4.1669999999999997E-3</v>
      </c>
      <c r="S20">
        <v>1.25585257E-2</v>
      </c>
      <c r="T20">
        <v>-3.9510706E-2</v>
      </c>
      <c r="U20">
        <v>0.76900000000000002</v>
      </c>
      <c r="V20">
        <v>1</v>
      </c>
      <c r="X20" t="s">
        <v>17</v>
      </c>
      <c r="AI20" t="s">
        <v>17</v>
      </c>
      <c r="AS20" s="14"/>
    </row>
    <row r="21" spans="1:47" x14ac:dyDescent="0.25">
      <c r="A21" s="14"/>
      <c r="B21" t="s">
        <v>18</v>
      </c>
      <c r="C21">
        <v>-6.9999999999999999E-4</v>
      </c>
      <c r="D21">
        <v>-1.108E-3</v>
      </c>
      <c r="E21">
        <v>-4.0056299999999999E-4</v>
      </c>
      <c r="F21">
        <v>2.2309999999999999E-3</v>
      </c>
      <c r="G21">
        <v>2.2030000000000001E-3</v>
      </c>
      <c r="H21">
        <v>-1.2377028999999999E-2</v>
      </c>
      <c r="I21">
        <v>0.56599760970000002</v>
      </c>
      <c r="J21">
        <v>0.93700000000000006</v>
      </c>
      <c r="K21">
        <v>8.4000000000000005E-2</v>
      </c>
      <c r="M21" t="s">
        <v>18</v>
      </c>
      <c r="N21">
        <v>-1.1999999999999999E-3</v>
      </c>
      <c r="O21">
        <v>-1.573E-3</v>
      </c>
      <c r="P21">
        <v>-3.8063799999999998E-4</v>
      </c>
      <c r="Q21">
        <v>2.1380000000000001E-3</v>
      </c>
      <c r="R21">
        <v>2.1299999999999999E-3</v>
      </c>
      <c r="S21">
        <v>-3.6991250000000002E-3</v>
      </c>
      <c r="T21">
        <v>0.31922916600000001</v>
      </c>
      <c r="U21">
        <v>0.94399999999999995</v>
      </c>
      <c r="V21">
        <v>0.107</v>
      </c>
      <c r="X21" t="s">
        <v>18</v>
      </c>
      <c r="AI21" t="s">
        <v>18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607</v>
      </c>
      <c r="M23" s="1" t="s">
        <v>608</v>
      </c>
      <c r="X23" s="1" t="s">
        <v>609</v>
      </c>
      <c r="AI23" s="1" t="s">
        <v>610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107.08</v>
      </c>
      <c r="AK25">
        <v>102.957114</v>
      </c>
      <c r="AL25">
        <v>-4.1202899999999998</v>
      </c>
      <c r="AM25">
        <v>-3.848E-2</v>
      </c>
      <c r="AN25">
        <v>2.4558179999999998</v>
      </c>
      <c r="AO25">
        <v>2.587164</v>
      </c>
      <c r="AP25">
        <v>5.3483999999999997E-2</v>
      </c>
      <c r="AQ25">
        <v>0.63800000000000001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-4.7699999999999996</v>
      </c>
      <c r="AK26">
        <v>-4.2185119999999996</v>
      </c>
      <c r="AL26">
        <v>0.55013000000000001</v>
      </c>
      <c r="AM26">
        <v>-0.11536</v>
      </c>
      <c r="AN26">
        <v>0.98947700000000005</v>
      </c>
      <c r="AO26">
        <v>1.023644</v>
      </c>
      <c r="AP26">
        <v>3.4530999999999999E-2</v>
      </c>
      <c r="AQ26">
        <v>0.92900000000000005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8.5479640000000003</v>
      </c>
      <c r="AL27">
        <v>-0.14873</v>
      </c>
      <c r="AM27">
        <v>-1.7100000000000001E-2</v>
      </c>
      <c r="AN27">
        <v>0.56056799999999996</v>
      </c>
      <c r="AO27">
        <v>0.56188700000000003</v>
      </c>
      <c r="AP27">
        <v>2.3540000000000002E-3</v>
      </c>
      <c r="AQ27">
        <v>0.94799999999999995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-1.61</v>
      </c>
      <c r="AK28">
        <v>-1.0456700000000001</v>
      </c>
      <c r="AL28">
        <v>0.56462000000000001</v>
      </c>
      <c r="AM28">
        <v>-0.35063</v>
      </c>
      <c r="AN28">
        <v>0.57125700000000001</v>
      </c>
      <c r="AO28">
        <v>0.600298</v>
      </c>
      <c r="AP28">
        <v>5.0837E-2</v>
      </c>
      <c r="AQ28">
        <v>0.85599999999999998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-7.92</v>
      </c>
      <c r="AK29">
        <v>-8.206118</v>
      </c>
      <c r="AL29">
        <v>-0.29093999999999998</v>
      </c>
      <c r="AM29">
        <v>3.6760000000000001E-2</v>
      </c>
      <c r="AN29">
        <v>0.78591200000000005</v>
      </c>
      <c r="AO29">
        <v>0.77612199999999998</v>
      </c>
      <c r="AP29">
        <v>-1.2458E-2</v>
      </c>
      <c r="AQ29">
        <v>0.92700000000000005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5.87</v>
      </c>
      <c r="AK30">
        <v>6.0480169999999998</v>
      </c>
      <c r="AL30">
        <v>0.17988000000000001</v>
      </c>
      <c r="AM30">
        <v>3.065E-2</v>
      </c>
      <c r="AN30">
        <v>5.6091000000000002E-2</v>
      </c>
      <c r="AO30">
        <v>5.7410000000000003E-2</v>
      </c>
      <c r="AP30">
        <v>2.3525999999999998E-2</v>
      </c>
      <c r="AQ30">
        <v>0.13400000000000001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1.8426999999999999E-2</v>
      </c>
      <c r="AL31">
        <v>-9.9900000000000006E-3</v>
      </c>
      <c r="AM31">
        <v>-0.35154000000000002</v>
      </c>
      <c r="AN31">
        <v>4.2597999999999997E-2</v>
      </c>
      <c r="AO31">
        <v>4.4226000000000001E-2</v>
      </c>
      <c r="AP31">
        <v>3.8207999999999999E-2</v>
      </c>
      <c r="AQ31">
        <v>0.97499999999999998</v>
      </c>
      <c r="AR31">
        <v>0</v>
      </c>
      <c r="AS31" s="14"/>
    </row>
    <row r="32" spans="1:47" ht="14.45" hidden="1" customHeight="1" x14ac:dyDescent="0.25"/>
    <row r="33" spans="1:47" x14ac:dyDescent="0.25">
      <c r="A33" s="13" t="s">
        <v>69</v>
      </c>
      <c r="B33" s="1" t="s">
        <v>462</v>
      </c>
      <c r="J33" s="12" t="str">
        <f>INDEX('Method Codes'!$B:$B, MATCH(B33, 'Method Codes'!$I:$I,0))</f>
        <v>IND</v>
      </c>
      <c r="K33" s="12" t="str">
        <f>INDEX('Method Codes'!H:H, MATCH(B33, 'Method Codes'!I:I,0))</f>
        <v>3H</v>
      </c>
      <c r="M33" s="1" t="s">
        <v>524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3H</v>
      </c>
      <c r="X33" s="1" t="s">
        <v>611</v>
      </c>
      <c r="AI33" s="1" t="s">
        <v>612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3.1804009999999998</v>
      </c>
      <c r="E35">
        <v>4.5009869700000003E-2</v>
      </c>
      <c r="F35">
        <v>0.29186499999999999</v>
      </c>
      <c r="G35">
        <v>0.31544899999999998</v>
      </c>
      <c r="H35">
        <v>8.0803518500000004E-2</v>
      </c>
      <c r="I35">
        <v>1.4355424699999999E-2</v>
      </c>
      <c r="J35">
        <v>0.95399999999999996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35">
        <v>3.2018689999999999</v>
      </c>
      <c r="P35">
        <v>4.7980514000000002E-2</v>
      </c>
      <c r="Q35">
        <v>0.30288300000000001</v>
      </c>
      <c r="R35">
        <v>0.33108900000000002</v>
      </c>
      <c r="S35">
        <v>9.3122405199999994E-2</v>
      </c>
      <c r="T35">
        <v>1.52131312E-2</v>
      </c>
      <c r="U35">
        <v>0.95799999999999996</v>
      </c>
      <c r="V35">
        <v>0</v>
      </c>
      <c r="X35" t="s">
        <v>12</v>
      </c>
      <c r="AI35" t="s">
        <v>12</v>
      </c>
      <c r="AS35" s="14"/>
    </row>
    <row r="36" spans="1:47" x14ac:dyDescent="0.25">
      <c r="A36" s="14"/>
      <c r="B36" t="s">
        <v>13</v>
      </c>
      <c r="C36">
        <v>-0.44119999999999998</v>
      </c>
      <c r="D36">
        <v>-0.40428399999999998</v>
      </c>
      <c r="E36">
        <v>3.6922336600000001E-2</v>
      </c>
      <c r="F36">
        <v>0.114116</v>
      </c>
      <c r="G36">
        <v>0.12066300000000001</v>
      </c>
      <c r="H36">
        <v>5.7369716799999998E-2</v>
      </c>
      <c r="I36">
        <v>-8.3684975999999994E-2</v>
      </c>
      <c r="J36">
        <v>0.93200000000000005</v>
      </c>
      <c r="K36">
        <v>0</v>
      </c>
      <c r="M36" t="s">
        <v>13</v>
      </c>
      <c r="N36">
        <v>-0.434</v>
      </c>
      <c r="O36">
        <v>-0.39732600000000001</v>
      </c>
      <c r="P36">
        <v>3.6634337699999998E-2</v>
      </c>
      <c r="Q36">
        <v>0.117106</v>
      </c>
      <c r="R36">
        <v>0.124932</v>
      </c>
      <c r="S36">
        <v>6.6827391599999994E-2</v>
      </c>
      <c r="T36">
        <v>-8.4418691000000004E-2</v>
      </c>
      <c r="U36">
        <v>0.93600000000000005</v>
      </c>
      <c r="V36">
        <v>0</v>
      </c>
      <c r="X36" t="s">
        <v>13</v>
      </c>
      <c r="AI36" t="s">
        <v>13</v>
      </c>
      <c r="AS36" s="14"/>
      <c r="AU36" t="s">
        <v>105</v>
      </c>
    </row>
    <row r="37" spans="1:47" x14ac:dyDescent="0.25">
      <c r="A37" s="14"/>
      <c r="B37" t="s">
        <v>14</v>
      </c>
      <c r="C37">
        <v>-7.3000000000000001E-3</v>
      </c>
      <c r="D37">
        <v>-2.1843999999999999E-2</v>
      </c>
      <c r="E37">
        <v>-1.4530312E-2</v>
      </c>
      <c r="F37">
        <v>5.8284000000000002E-2</v>
      </c>
      <c r="G37">
        <v>6.2322000000000002E-2</v>
      </c>
      <c r="H37">
        <v>6.92686676E-2</v>
      </c>
      <c r="I37">
        <v>1.9866521749999999</v>
      </c>
      <c r="J37">
        <v>0.95399999999999996</v>
      </c>
      <c r="K37">
        <v>0</v>
      </c>
      <c r="M37" t="s">
        <v>14</v>
      </c>
      <c r="N37">
        <v>-7.6E-3</v>
      </c>
      <c r="O37">
        <v>-2.1446E-2</v>
      </c>
      <c r="P37">
        <v>-1.3828307E-2</v>
      </c>
      <c r="Q37">
        <v>5.8888000000000003E-2</v>
      </c>
      <c r="R37">
        <v>6.2546000000000004E-2</v>
      </c>
      <c r="S37">
        <v>6.2116579999999998E-2</v>
      </c>
      <c r="T37">
        <v>1.8152122340000001</v>
      </c>
      <c r="U37">
        <v>0.95599999999999996</v>
      </c>
      <c r="V37">
        <v>0</v>
      </c>
      <c r="X37" t="s">
        <v>14</v>
      </c>
      <c r="AI37" t="s">
        <v>14</v>
      </c>
      <c r="AS37" s="14"/>
    </row>
    <row r="38" spans="1:47" x14ac:dyDescent="0.25">
      <c r="A38" s="14"/>
      <c r="B38" t="s">
        <v>15</v>
      </c>
      <c r="C38">
        <v>-0.45419999999999999</v>
      </c>
      <c r="D38">
        <v>-0.50384200000000001</v>
      </c>
      <c r="E38">
        <v>-4.9653872000000002E-2</v>
      </c>
      <c r="F38">
        <v>8.4233000000000002E-2</v>
      </c>
      <c r="G38">
        <v>8.6021E-2</v>
      </c>
      <c r="H38">
        <v>2.1228150000000001E-2</v>
      </c>
      <c r="I38">
        <v>0.109324479</v>
      </c>
      <c r="J38">
        <v>0.84799999999999998</v>
      </c>
      <c r="K38">
        <v>0</v>
      </c>
      <c r="M38" t="s">
        <v>15</v>
      </c>
      <c r="N38">
        <v>-0.4551</v>
      </c>
      <c r="O38">
        <v>-0.51023799999999997</v>
      </c>
      <c r="P38">
        <v>-5.5106421000000003E-2</v>
      </c>
      <c r="Q38">
        <v>8.6928000000000005E-2</v>
      </c>
      <c r="R38">
        <v>8.9324000000000001E-2</v>
      </c>
      <c r="S38">
        <v>2.75604409E-2</v>
      </c>
      <c r="T38">
        <v>0.12107791530000001</v>
      </c>
      <c r="U38">
        <v>0.84</v>
      </c>
      <c r="V38">
        <v>0</v>
      </c>
      <c r="X38" t="s">
        <v>15</v>
      </c>
      <c r="AI38" t="s">
        <v>15</v>
      </c>
      <c r="AS38" s="14"/>
    </row>
    <row r="39" spans="1:47" x14ac:dyDescent="0.25">
      <c r="A39" s="14"/>
      <c r="B39" t="s">
        <v>16</v>
      </c>
      <c r="C39">
        <v>-8.2500000000000004E-2</v>
      </c>
      <c r="D39">
        <v>-9.3979999999999994E-2</v>
      </c>
      <c r="E39">
        <v>-1.1437416000000001E-2</v>
      </c>
      <c r="F39">
        <v>7.1441000000000004E-2</v>
      </c>
      <c r="G39">
        <v>7.7084E-2</v>
      </c>
      <c r="H39">
        <v>7.8982158299999994E-2</v>
      </c>
      <c r="I39">
        <v>0.13856410629999999</v>
      </c>
      <c r="J39">
        <v>0.97299999999999998</v>
      </c>
      <c r="K39">
        <v>0</v>
      </c>
      <c r="M39" t="s">
        <v>16</v>
      </c>
      <c r="N39">
        <v>-8.0399999999999999E-2</v>
      </c>
      <c r="O39">
        <v>-9.0567999999999996E-2</v>
      </c>
      <c r="P39">
        <v>-1.0161819000000001E-2</v>
      </c>
      <c r="Q39">
        <v>7.1233000000000005E-2</v>
      </c>
      <c r="R39">
        <v>7.7491000000000004E-2</v>
      </c>
      <c r="S39">
        <v>8.78467515E-2</v>
      </c>
      <c r="T39">
        <v>0.12638051410000001</v>
      </c>
      <c r="U39">
        <v>0.97199999999999998</v>
      </c>
      <c r="V39">
        <v>0</v>
      </c>
      <c r="X39" t="s">
        <v>16</v>
      </c>
      <c r="AI39" t="s">
        <v>16</v>
      </c>
      <c r="AS39" s="14"/>
    </row>
    <row r="40" spans="1:47" x14ac:dyDescent="0.25">
      <c r="A40" s="14"/>
      <c r="B40" t="s">
        <v>17</v>
      </c>
      <c r="C40">
        <v>-0.12590000000000001</v>
      </c>
      <c r="D40">
        <v>-0.130801</v>
      </c>
      <c r="E40">
        <v>-4.8543019999999996E-3</v>
      </c>
      <c r="F40">
        <v>8.1849999999999996E-3</v>
      </c>
      <c r="G40">
        <v>8.4390000000000003E-3</v>
      </c>
      <c r="H40">
        <v>3.11323958E-2</v>
      </c>
      <c r="I40">
        <v>3.8542636800000002E-2</v>
      </c>
      <c r="J40">
        <v>0.93</v>
      </c>
      <c r="K40">
        <v>0</v>
      </c>
      <c r="M40" t="s">
        <v>17</v>
      </c>
      <c r="N40">
        <v>-0.1255</v>
      </c>
      <c r="O40">
        <v>-0.13078699999999999</v>
      </c>
      <c r="P40">
        <v>-5.3227379999999996E-3</v>
      </c>
      <c r="Q40">
        <v>8.6759999999999997E-3</v>
      </c>
      <c r="R40">
        <v>8.9339999999999992E-3</v>
      </c>
      <c r="S40">
        <v>2.97585444E-2</v>
      </c>
      <c r="T40">
        <v>4.24241707E-2</v>
      </c>
      <c r="U40">
        <v>0.92300000000000004</v>
      </c>
      <c r="V40">
        <v>0</v>
      </c>
      <c r="X40" t="s">
        <v>17</v>
      </c>
      <c r="AI40" t="s">
        <v>17</v>
      </c>
      <c r="AS40" s="14"/>
    </row>
    <row r="41" spans="1:47" x14ac:dyDescent="0.25">
      <c r="A41" s="14"/>
      <c r="B41" t="s">
        <v>18</v>
      </c>
      <c r="C41">
        <v>-6.9999999999999999E-4</v>
      </c>
      <c r="D41">
        <v>3.2369999999999999E-3</v>
      </c>
      <c r="E41">
        <v>3.9444889999999998E-3</v>
      </c>
      <c r="F41">
        <v>5.7130000000000002E-3</v>
      </c>
      <c r="G41">
        <v>6.2459999999999998E-3</v>
      </c>
      <c r="H41">
        <v>9.3271218599999997E-2</v>
      </c>
      <c r="I41">
        <v>-5.5735829419999998</v>
      </c>
      <c r="J41">
        <v>0.91800000000000004</v>
      </c>
      <c r="K41">
        <v>0</v>
      </c>
      <c r="M41" t="s">
        <v>18</v>
      </c>
      <c r="N41">
        <v>-1.1999999999999999E-3</v>
      </c>
      <c r="O41">
        <v>3.1909999999999998E-3</v>
      </c>
      <c r="P41">
        <v>4.3833263000000004E-3</v>
      </c>
      <c r="Q41">
        <v>6.3119999999999999E-3</v>
      </c>
      <c r="R41">
        <v>6.8469999999999998E-3</v>
      </c>
      <c r="S41">
        <v>8.4760186299999998E-2</v>
      </c>
      <c r="T41">
        <v>-3.676160726</v>
      </c>
      <c r="U41">
        <v>0.92300000000000004</v>
      </c>
      <c r="V41">
        <v>0</v>
      </c>
      <c r="X41" t="s">
        <v>18</v>
      </c>
      <c r="AI41" t="s">
        <v>18</v>
      </c>
      <c r="AS41" s="14"/>
    </row>
    <row r="43" spans="1:47" ht="14.45" customHeight="1" x14ac:dyDescent="0.25">
      <c r="A43" s="13" t="s">
        <v>70</v>
      </c>
      <c r="B43" s="1" t="s">
        <v>474</v>
      </c>
      <c r="J43" s="12" t="str">
        <f>INDEX('Method Codes'!$B:$B, MATCH(B43, 'Method Codes'!$I:$I,0))</f>
        <v>IND</v>
      </c>
      <c r="K43" s="12" t="str">
        <f>INDEX('Method Codes'!H:H, MATCH(B43, 'Method Codes'!I:I,0))</f>
        <v>4N</v>
      </c>
      <c r="M43" s="1" t="s">
        <v>535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4N</v>
      </c>
      <c r="X43" s="1" t="s">
        <v>613</v>
      </c>
      <c r="AI43" s="1" t="s">
        <v>614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3.144425</v>
      </c>
      <c r="E45">
        <v>9.0339826000000005E-3</v>
      </c>
      <c r="F45">
        <v>0.25224200000000002</v>
      </c>
      <c r="G45">
        <v>0.24263100000000001</v>
      </c>
      <c r="H45">
        <v>-3.8103473999999998E-2</v>
      </c>
      <c r="I45">
        <v>2.8812937999999999E-3</v>
      </c>
      <c r="J45">
        <v>0.94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45">
        <v>3.1696399999999998</v>
      </c>
      <c r="P45">
        <v>1.57518338E-2</v>
      </c>
      <c r="Q45">
        <v>0.26436500000000002</v>
      </c>
      <c r="R45">
        <v>0.25468200000000002</v>
      </c>
      <c r="S45">
        <v>-3.663056E-2</v>
      </c>
      <c r="T45">
        <v>4.9944174000000003E-3</v>
      </c>
      <c r="U45">
        <v>0.94299999999999995</v>
      </c>
      <c r="V45">
        <v>1</v>
      </c>
      <c r="X45" t="s">
        <v>12</v>
      </c>
      <c r="AI45" t="s">
        <v>12</v>
      </c>
      <c r="AS45" s="14"/>
    </row>
    <row r="46" spans="1:47" x14ac:dyDescent="0.25">
      <c r="A46" s="14"/>
      <c r="B46" t="s">
        <v>13</v>
      </c>
      <c r="C46">
        <v>-0.44119999999999998</v>
      </c>
      <c r="D46">
        <v>-0.449098</v>
      </c>
      <c r="E46">
        <v>-7.8916379999999994E-3</v>
      </c>
      <c r="F46">
        <v>9.8239999999999994E-2</v>
      </c>
      <c r="G46">
        <v>9.3043000000000001E-2</v>
      </c>
      <c r="H46">
        <v>-5.2902019000000002E-2</v>
      </c>
      <c r="I46">
        <v>1.7886503299999999E-2</v>
      </c>
      <c r="J46">
        <v>0.93700000000000006</v>
      </c>
      <c r="K46">
        <v>0.99299999999999999</v>
      </c>
      <c r="M46" t="s">
        <v>13</v>
      </c>
      <c r="N46">
        <v>-0.434</v>
      </c>
      <c r="O46">
        <v>-0.440552</v>
      </c>
      <c r="P46">
        <v>-6.5915679999999999E-3</v>
      </c>
      <c r="Q46">
        <v>0.101956</v>
      </c>
      <c r="R46">
        <v>9.6749000000000002E-2</v>
      </c>
      <c r="S46">
        <v>-5.1075239000000001E-2</v>
      </c>
      <c r="T46">
        <v>1.51893436E-2</v>
      </c>
      <c r="U46">
        <v>0.93899999999999995</v>
      </c>
      <c r="V46">
        <v>0.98899999999999999</v>
      </c>
      <c r="X46" t="s">
        <v>13</v>
      </c>
      <c r="AI46" t="s">
        <v>13</v>
      </c>
      <c r="AS46" s="14"/>
    </row>
    <row r="47" spans="1:47" x14ac:dyDescent="0.25">
      <c r="A47" s="14"/>
      <c r="B47" t="s">
        <v>14</v>
      </c>
      <c r="C47">
        <v>-7.3000000000000001E-3</v>
      </c>
      <c r="D47">
        <v>-7.8759999999999993E-3</v>
      </c>
      <c r="E47">
        <v>-5.6161799999999995E-4</v>
      </c>
      <c r="F47">
        <v>5.7085999999999998E-2</v>
      </c>
      <c r="G47">
        <v>5.7023999999999998E-2</v>
      </c>
      <c r="H47">
        <v>-1.0856240000000001E-3</v>
      </c>
      <c r="I47">
        <v>7.6787101999999996E-2</v>
      </c>
      <c r="J47">
        <v>0.95099999999999996</v>
      </c>
      <c r="K47">
        <v>4.9000000000000002E-2</v>
      </c>
      <c r="M47" t="s">
        <v>14</v>
      </c>
      <c r="N47">
        <v>-7.6E-3</v>
      </c>
      <c r="O47">
        <v>-7.7499999999999999E-3</v>
      </c>
      <c r="P47">
        <v>-1.32387E-4</v>
      </c>
      <c r="Q47">
        <v>5.9494999999999999E-2</v>
      </c>
      <c r="R47">
        <v>5.8878E-2</v>
      </c>
      <c r="S47">
        <v>-1.0374009E-2</v>
      </c>
      <c r="T47">
        <v>1.7378160399999999E-2</v>
      </c>
      <c r="U47">
        <v>0.94899999999999995</v>
      </c>
      <c r="V47">
        <v>5.2999999999999999E-2</v>
      </c>
      <c r="X47" t="s">
        <v>14</v>
      </c>
      <c r="AI47" t="s">
        <v>14</v>
      </c>
      <c r="AS47" s="14"/>
    </row>
    <row r="48" spans="1:47" x14ac:dyDescent="0.25">
      <c r="A48" s="14"/>
      <c r="B48" t="s">
        <v>15</v>
      </c>
      <c r="C48">
        <v>-0.45419999999999999</v>
      </c>
      <c r="D48">
        <v>-0.45070500000000002</v>
      </c>
      <c r="E48">
        <v>3.4831544000000002E-3</v>
      </c>
      <c r="F48">
        <v>6.2164999999999998E-2</v>
      </c>
      <c r="G48">
        <v>5.9247000000000001E-2</v>
      </c>
      <c r="H48">
        <v>-4.6938415999999997E-2</v>
      </c>
      <c r="I48">
        <v>-7.6689699999999998E-3</v>
      </c>
      <c r="J48">
        <v>0.94099999999999995</v>
      </c>
      <c r="K48">
        <v>1</v>
      </c>
      <c r="M48" t="s">
        <v>15</v>
      </c>
      <c r="N48">
        <v>-0.4551</v>
      </c>
      <c r="O48">
        <v>-0.45505400000000001</v>
      </c>
      <c r="P48">
        <v>7.7552000000000006E-5</v>
      </c>
      <c r="Q48">
        <v>6.5408999999999995E-2</v>
      </c>
      <c r="R48">
        <v>6.2646999999999994E-2</v>
      </c>
      <c r="S48">
        <v>-4.2225080999999998E-2</v>
      </c>
      <c r="T48">
        <v>-1.70395E-4</v>
      </c>
      <c r="U48">
        <v>0.94199999999999995</v>
      </c>
      <c r="V48">
        <v>1</v>
      </c>
      <c r="X48" t="s">
        <v>15</v>
      </c>
      <c r="AI48" t="s">
        <v>15</v>
      </c>
      <c r="AS48" s="14"/>
    </row>
    <row r="49" spans="1:45" x14ac:dyDescent="0.25">
      <c r="A49" s="14"/>
      <c r="B49" t="s">
        <v>16</v>
      </c>
      <c r="C49">
        <v>-8.2500000000000004E-2</v>
      </c>
      <c r="D49">
        <v>-8.5691000000000003E-2</v>
      </c>
      <c r="E49">
        <v>-3.1484030000000001E-3</v>
      </c>
      <c r="F49">
        <v>7.2530999999999998E-2</v>
      </c>
      <c r="G49">
        <v>7.2067999999999993E-2</v>
      </c>
      <c r="H49">
        <v>-6.3830240000000002E-3</v>
      </c>
      <c r="I49">
        <v>3.81428475E-2</v>
      </c>
      <c r="J49">
        <v>0.95299999999999996</v>
      </c>
      <c r="K49">
        <v>0.22700000000000001</v>
      </c>
      <c r="M49" t="s">
        <v>16</v>
      </c>
      <c r="N49">
        <v>-8.0399999999999999E-2</v>
      </c>
      <c r="O49">
        <v>-8.2755999999999996E-2</v>
      </c>
      <c r="P49">
        <v>-2.3497660000000001E-3</v>
      </c>
      <c r="Q49">
        <v>7.4616000000000002E-2</v>
      </c>
      <c r="R49">
        <v>7.4385000000000007E-2</v>
      </c>
      <c r="S49">
        <v>-3.1026690000000002E-3</v>
      </c>
      <c r="T49">
        <v>2.9223576000000001E-2</v>
      </c>
      <c r="U49">
        <v>0.95099999999999996</v>
      </c>
      <c r="V49">
        <v>0.20799999999999999</v>
      </c>
      <c r="X49" t="s">
        <v>16</v>
      </c>
      <c r="AI49" t="s">
        <v>16</v>
      </c>
      <c r="AS49" s="14"/>
    </row>
    <row r="50" spans="1:45" x14ac:dyDescent="0.25">
      <c r="A50" s="14"/>
      <c r="B50" t="s">
        <v>17</v>
      </c>
      <c r="C50">
        <v>-0.12590000000000001</v>
      </c>
      <c r="D50">
        <v>-0.125942</v>
      </c>
      <c r="E50">
        <v>4.3941472000000001E-6</v>
      </c>
      <c r="F50">
        <v>5.914E-3</v>
      </c>
      <c r="G50">
        <v>5.8450000000000004E-3</v>
      </c>
      <c r="H50">
        <v>-1.1756765000000001E-2</v>
      </c>
      <c r="I50">
        <v>-3.4888999999999997E-5</v>
      </c>
      <c r="J50">
        <v>0.95299999999999996</v>
      </c>
      <c r="K50">
        <v>1</v>
      </c>
      <c r="M50" t="s">
        <v>17</v>
      </c>
      <c r="N50">
        <v>-0.1255</v>
      </c>
      <c r="O50">
        <v>-0.12554199999999999</v>
      </c>
      <c r="P50">
        <v>-7.7343999999999997E-5</v>
      </c>
      <c r="Q50">
        <v>5.9569999999999996E-3</v>
      </c>
      <c r="R50">
        <v>5.8570000000000002E-3</v>
      </c>
      <c r="S50">
        <v>-1.6735686999999999E-2</v>
      </c>
      <c r="T50">
        <v>6.1646400000000005E-4</v>
      </c>
      <c r="U50">
        <v>0.94399999999999995</v>
      </c>
      <c r="V50">
        <v>1</v>
      </c>
      <c r="X50" t="s">
        <v>17</v>
      </c>
      <c r="AI50" t="s">
        <v>17</v>
      </c>
      <c r="AS50" s="14"/>
    </row>
    <row r="51" spans="1:45" x14ac:dyDescent="0.25">
      <c r="A51" s="14"/>
      <c r="B51" t="s">
        <v>18</v>
      </c>
      <c r="C51">
        <v>-6.9999999999999999E-4</v>
      </c>
      <c r="D51">
        <v>-9.5200000000000005E-4</v>
      </c>
      <c r="E51">
        <v>-2.44412E-4</v>
      </c>
      <c r="F51">
        <v>3.045E-3</v>
      </c>
      <c r="G51">
        <v>2.9320000000000001E-3</v>
      </c>
      <c r="H51">
        <v>-3.7237818999999998E-2</v>
      </c>
      <c r="I51">
        <v>0.34535495659999998</v>
      </c>
      <c r="J51">
        <v>0.94099999999999995</v>
      </c>
      <c r="K51">
        <v>7.4999999999999997E-2</v>
      </c>
      <c r="M51" t="s">
        <v>18</v>
      </c>
      <c r="N51">
        <v>-1.1999999999999999E-3</v>
      </c>
      <c r="O51">
        <v>-1.379E-3</v>
      </c>
      <c r="P51">
        <v>-1.8628399999999999E-4</v>
      </c>
      <c r="Q51">
        <v>3.0500000000000002E-3</v>
      </c>
      <c r="R51">
        <v>2.908E-3</v>
      </c>
      <c r="S51">
        <v>-4.6618840000000002E-2</v>
      </c>
      <c r="T51">
        <v>0.1562306165</v>
      </c>
      <c r="U51">
        <v>0.94</v>
      </c>
      <c r="V51">
        <v>8.6999999999999994E-2</v>
      </c>
      <c r="X51" t="s">
        <v>18</v>
      </c>
      <c r="AI51" t="s">
        <v>18</v>
      </c>
      <c r="AS51" s="14"/>
    </row>
    <row r="53" spans="1:45" ht="14.45" customHeight="1" x14ac:dyDescent="0.25">
      <c r="A53" s="13" t="s">
        <v>97</v>
      </c>
      <c r="B53" s="1" t="s">
        <v>482</v>
      </c>
      <c r="J53" s="12" t="str">
        <f>INDEX('Method Codes'!$B:$B, MATCH(B53, 'Method Codes'!$I:$I,0))</f>
        <v>IND</v>
      </c>
      <c r="K53" s="12" t="str">
        <f>INDEX('Method Codes'!H:H, MATCH(B53, 'Method Codes'!I:I,0))</f>
        <v>5H</v>
      </c>
      <c r="M53" s="1" t="s">
        <v>542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5H</v>
      </c>
      <c r="X53" s="1" t="s">
        <v>615</v>
      </c>
      <c r="AI53" s="1" t="s">
        <v>616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3.2347519999999998</v>
      </c>
      <c r="E55">
        <v>9.9361074100000002E-2</v>
      </c>
      <c r="F55">
        <v>0.19702800000000001</v>
      </c>
      <c r="G55">
        <v>0.202761</v>
      </c>
      <c r="H55">
        <v>2.90971514E-2</v>
      </c>
      <c r="I55">
        <v>3.1690169900000002E-2</v>
      </c>
      <c r="J55">
        <v>0.92800000000000005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5">
        <v>3.2774030000000001</v>
      </c>
      <c r="P55">
        <v>0.1235148034</v>
      </c>
      <c r="Q55">
        <v>0.20682600000000001</v>
      </c>
      <c r="R55">
        <v>0.214592</v>
      </c>
      <c r="S55">
        <v>3.75460403E-2</v>
      </c>
      <c r="T55">
        <v>3.9162708999999997E-2</v>
      </c>
      <c r="U55">
        <v>0.91600000000000004</v>
      </c>
      <c r="V55">
        <v>0</v>
      </c>
      <c r="X55" t="s">
        <v>12</v>
      </c>
      <c r="AI55" t="s">
        <v>12</v>
      </c>
      <c r="AS55" s="14"/>
    </row>
    <row r="56" spans="1:45" x14ac:dyDescent="0.25">
      <c r="A56" s="14"/>
      <c r="B56" t="s">
        <v>13</v>
      </c>
      <c r="C56">
        <v>-0.44119999999999998</v>
      </c>
      <c r="D56">
        <v>-0.46668799999999999</v>
      </c>
      <c r="E56">
        <v>-2.5481579000000001E-2</v>
      </c>
      <c r="F56">
        <v>7.1792999999999996E-2</v>
      </c>
      <c r="G56">
        <v>7.3079000000000005E-2</v>
      </c>
      <c r="H56">
        <v>1.7907005100000001E-2</v>
      </c>
      <c r="I56">
        <v>5.7754342700000003E-2</v>
      </c>
      <c r="J56">
        <v>0.94399999999999995</v>
      </c>
      <c r="K56">
        <v>0</v>
      </c>
      <c r="M56" t="s">
        <v>13</v>
      </c>
      <c r="N56">
        <v>-0.434</v>
      </c>
      <c r="O56">
        <v>-0.45634599999999997</v>
      </c>
      <c r="P56">
        <v>-2.2386204E-2</v>
      </c>
      <c r="Q56">
        <v>7.3855000000000004E-2</v>
      </c>
      <c r="R56">
        <v>7.6004000000000002E-2</v>
      </c>
      <c r="S56">
        <v>2.9091242699999999E-2</v>
      </c>
      <c r="T56">
        <v>5.1585867200000003E-2</v>
      </c>
      <c r="U56">
        <v>0.94899999999999995</v>
      </c>
      <c r="V56">
        <v>0</v>
      </c>
      <c r="X56" t="s">
        <v>13</v>
      </c>
      <c r="AI56" t="s">
        <v>13</v>
      </c>
      <c r="AS56" s="14"/>
    </row>
    <row r="57" spans="1:45" x14ac:dyDescent="0.25">
      <c r="A57" s="14"/>
      <c r="B57" t="s">
        <v>14</v>
      </c>
      <c r="C57">
        <v>-7.3000000000000001E-3</v>
      </c>
      <c r="D57">
        <v>-1.5488E-2</v>
      </c>
      <c r="E57">
        <v>-8.1743819999999991E-3</v>
      </c>
      <c r="F57">
        <v>3.8100000000000002E-2</v>
      </c>
      <c r="G57">
        <v>4.4205000000000001E-2</v>
      </c>
      <c r="H57">
        <v>0.16025183139999999</v>
      </c>
      <c r="I57">
        <v>1.1176397517000001</v>
      </c>
      <c r="J57">
        <v>0.97</v>
      </c>
      <c r="K57">
        <v>0</v>
      </c>
      <c r="M57" t="s">
        <v>14</v>
      </c>
      <c r="N57">
        <v>-7.6E-3</v>
      </c>
      <c r="O57">
        <v>-1.5972E-2</v>
      </c>
      <c r="P57">
        <v>-8.3536519999999996E-3</v>
      </c>
      <c r="Q57">
        <v>3.9135999999999997E-2</v>
      </c>
      <c r="R57">
        <v>4.5532999999999997E-2</v>
      </c>
      <c r="S57">
        <v>0.1634340772</v>
      </c>
      <c r="T57">
        <v>1.0965660080999999</v>
      </c>
      <c r="U57">
        <v>0.97299999999999998</v>
      </c>
      <c r="V57">
        <v>0</v>
      </c>
      <c r="X57" t="s">
        <v>14</v>
      </c>
      <c r="AI57" t="s">
        <v>14</v>
      </c>
      <c r="AS57" s="14"/>
    </row>
    <row r="58" spans="1:45" x14ac:dyDescent="0.25">
      <c r="A58" s="14"/>
      <c r="B58" t="s">
        <v>15</v>
      </c>
      <c r="C58">
        <v>-0.45419999999999999</v>
      </c>
      <c r="D58">
        <v>-0.48075499999999999</v>
      </c>
      <c r="E58">
        <v>-2.6567033E-2</v>
      </c>
      <c r="F58">
        <v>4.7673E-2</v>
      </c>
      <c r="G58">
        <v>4.7917000000000001E-2</v>
      </c>
      <c r="H58">
        <v>5.1264500999999999E-3</v>
      </c>
      <c r="I58">
        <v>5.8493465100000003E-2</v>
      </c>
      <c r="J58">
        <v>0.91300000000000003</v>
      </c>
      <c r="K58">
        <v>0</v>
      </c>
      <c r="M58" t="s">
        <v>15</v>
      </c>
      <c r="N58">
        <v>-0.4551</v>
      </c>
      <c r="O58">
        <v>-0.49082199999999998</v>
      </c>
      <c r="P58">
        <v>-3.5689614000000001E-2</v>
      </c>
      <c r="Q58">
        <v>5.0131000000000002E-2</v>
      </c>
      <c r="R58">
        <v>5.0876999999999999E-2</v>
      </c>
      <c r="S58">
        <v>1.48940527E-2</v>
      </c>
      <c r="T58">
        <v>7.8415980699999999E-2</v>
      </c>
      <c r="U58">
        <v>0.89600000000000002</v>
      </c>
      <c r="V58">
        <v>0</v>
      </c>
      <c r="X58" t="s">
        <v>15</v>
      </c>
      <c r="AI58" t="s">
        <v>15</v>
      </c>
      <c r="AS58" s="14"/>
    </row>
    <row r="59" spans="1:45" x14ac:dyDescent="0.25">
      <c r="A59" s="14"/>
      <c r="B59" t="s">
        <v>16</v>
      </c>
      <c r="C59">
        <v>-8.2500000000000004E-2</v>
      </c>
      <c r="D59">
        <v>-6.5199999999999994E-2</v>
      </c>
      <c r="E59">
        <v>1.7342783899999999E-2</v>
      </c>
      <c r="F59">
        <v>5.0673999999999997E-2</v>
      </c>
      <c r="G59">
        <v>5.5030000000000003E-2</v>
      </c>
      <c r="H59">
        <v>8.5965136100000006E-2</v>
      </c>
      <c r="I59">
        <v>-0.21010754600000001</v>
      </c>
      <c r="J59">
        <v>0.95399999999999996</v>
      </c>
      <c r="K59">
        <v>0</v>
      </c>
      <c r="M59" t="s">
        <v>16</v>
      </c>
      <c r="N59">
        <v>-8.0399999999999999E-2</v>
      </c>
      <c r="O59">
        <v>-5.7480000000000003E-2</v>
      </c>
      <c r="P59">
        <v>2.2926816100000001E-2</v>
      </c>
      <c r="Q59">
        <v>5.1802000000000001E-2</v>
      </c>
      <c r="R59">
        <v>5.6741E-2</v>
      </c>
      <c r="S59">
        <v>9.5342475699999998E-2</v>
      </c>
      <c r="T59">
        <v>-0.28513623100000002</v>
      </c>
      <c r="U59">
        <v>0.94699999999999995</v>
      </c>
      <c r="V59">
        <v>0</v>
      </c>
      <c r="X59" t="s">
        <v>16</v>
      </c>
      <c r="AI59" t="s">
        <v>16</v>
      </c>
      <c r="AS59" s="14"/>
    </row>
    <row r="60" spans="1:45" x14ac:dyDescent="0.25">
      <c r="A60" s="14"/>
      <c r="B60" t="s">
        <v>17</v>
      </c>
      <c r="C60">
        <v>-0.12590000000000001</v>
      </c>
      <c r="D60">
        <v>-0.128272</v>
      </c>
      <c r="E60">
        <v>-2.3255870000000001E-3</v>
      </c>
      <c r="F60">
        <v>4.875E-3</v>
      </c>
      <c r="G60">
        <v>5.006E-3</v>
      </c>
      <c r="H60">
        <v>2.6757458800000002E-2</v>
      </c>
      <c r="I60">
        <v>1.8464912399999998E-2</v>
      </c>
      <c r="J60">
        <v>0.94</v>
      </c>
      <c r="K60">
        <v>0</v>
      </c>
      <c r="M60" t="s">
        <v>17</v>
      </c>
      <c r="N60">
        <v>-0.1255</v>
      </c>
      <c r="O60">
        <v>-0.12700500000000001</v>
      </c>
      <c r="P60">
        <v>-1.540327E-3</v>
      </c>
      <c r="Q60">
        <v>4.8679999999999999E-3</v>
      </c>
      <c r="R60">
        <v>5.0000000000000001E-3</v>
      </c>
      <c r="S60">
        <v>2.70133818E-2</v>
      </c>
      <c r="T60">
        <v>1.22769731E-2</v>
      </c>
      <c r="U60">
        <v>0.95799999999999996</v>
      </c>
      <c r="V60">
        <v>0</v>
      </c>
      <c r="X60" t="s">
        <v>17</v>
      </c>
      <c r="AI60" t="s">
        <v>17</v>
      </c>
      <c r="AS60" s="14"/>
    </row>
    <row r="61" spans="1:45" x14ac:dyDescent="0.25">
      <c r="A61" s="14"/>
      <c r="B61" t="s">
        <v>18</v>
      </c>
      <c r="C61">
        <v>-6.9999999999999999E-4</v>
      </c>
      <c r="D61">
        <v>-5.0100000000000003E-4</v>
      </c>
      <c r="E61">
        <v>2.067561E-4</v>
      </c>
      <c r="F61">
        <v>2.2799999999999999E-3</v>
      </c>
      <c r="G61">
        <v>2.48E-3</v>
      </c>
      <c r="H61">
        <v>8.8030151200000004E-2</v>
      </c>
      <c r="I61">
        <v>-0.29214741999999999</v>
      </c>
      <c r="J61">
        <v>0.96699999999999997</v>
      </c>
      <c r="K61">
        <v>0</v>
      </c>
      <c r="M61" t="s">
        <v>18</v>
      </c>
      <c r="N61">
        <v>-1.1999999999999999E-3</v>
      </c>
      <c r="O61">
        <v>-9.0600000000000001E-4</v>
      </c>
      <c r="P61">
        <v>2.863912E-4</v>
      </c>
      <c r="Q61">
        <v>2.2620000000000001E-3</v>
      </c>
      <c r="R61">
        <v>2.4819999999999998E-3</v>
      </c>
      <c r="S61">
        <v>9.7396457500000005E-2</v>
      </c>
      <c r="T61">
        <v>-0.24018745599999999</v>
      </c>
      <c r="U61">
        <v>0.96699999999999997</v>
      </c>
      <c r="V61">
        <v>0</v>
      </c>
      <c r="X61" t="s">
        <v>18</v>
      </c>
      <c r="AI61" t="s">
        <v>18</v>
      </c>
      <c r="AS61" s="14"/>
    </row>
    <row r="63" spans="1:45" ht="14.45" customHeight="1" x14ac:dyDescent="0.25">
      <c r="A63" s="13" t="s">
        <v>98</v>
      </c>
      <c r="B63" s="1" t="s">
        <v>494</v>
      </c>
      <c r="J63" s="12" t="str">
        <f>INDEX('Method Codes'!$B:$B, MATCH(B63, 'Method Codes'!$I:$I,0))</f>
        <v>IND</v>
      </c>
      <c r="K63" s="12" t="str">
        <f>INDEX('Method Codes'!H:H, MATCH(B63, 'Method Codes'!I:I,0))</f>
        <v>6N</v>
      </c>
      <c r="M63" s="1" t="s">
        <v>553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6N</v>
      </c>
      <c r="X63" s="1" t="s">
        <v>617</v>
      </c>
      <c r="AI63" s="1" t="s">
        <v>618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3.1341890000000001</v>
      </c>
      <c r="E65">
        <v>-1.201768E-3</v>
      </c>
      <c r="F65">
        <v>0.201927</v>
      </c>
      <c r="G65">
        <v>0.19376299999999999</v>
      </c>
      <c r="H65">
        <v>-4.0430455999999997E-2</v>
      </c>
      <c r="I65">
        <v>-3.8329100000000001E-4</v>
      </c>
      <c r="J65">
        <v>0.94099999999999995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65">
        <v>3.1746560000000001</v>
      </c>
      <c r="P65">
        <v>2.07681082E-2</v>
      </c>
      <c r="Q65">
        <v>0.21129300000000001</v>
      </c>
      <c r="R65">
        <v>0.20310700000000001</v>
      </c>
      <c r="S65">
        <v>-3.8743381E-2</v>
      </c>
      <c r="T65">
        <v>6.5849222999999997E-3</v>
      </c>
      <c r="U65">
        <v>0.92800000000000005</v>
      </c>
      <c r="V65">
        <v>1</v>
      </c>
      <c r="X65" t="s">
        <v>12</v>
      </c>
      <c r="AI65" t="s">
        <v>12</v>
      </c>
      <c r="AS65" s="14"/>
    </row>
    <row r="66" spans="1:45" x14ac:dyDescent="0.25">
      <c r="A66" s="14"/>
      <c r="B66" t="s">
        <v>13</v>
      </c>
      <c r="C66">
        <v>-0.44119999999999998</v>
      </c>
      <c r="D66">
        <v>-0.44353799999999999</v>
      </c>
      <c r="E66">
        <v>-2.3315649999999999E-3</v>
      </c>
      <c r="F66">
        <v>7.5169E-2</v>
      </c>
      <c r="G66">
        <v>7.0361000000000007E-2</v>
      </c>
      <c r="H66">
        <v>-6.3965206999999996E-2</v>
      </c>
      <c r="I66">
        <v>5.2845243000000002E-3</v>
      </c>
      <c r="J66">
        <v>0.92400000000000004</v>
      </c>
      <c r="K66">
        <v>1</v>
      </c>
      <c r="M66" t="s">
        <v>13</v>
      </c>
      <c r="N66">
        <v>-0.434</v>
      </c>
      <c r="O66">
        <v>-0.431029</v>
      </c>
      <c r="P66">
        <v>2.9310453999999999E-3</v>
      </c>
      <c r="Q66">
        <v>7.7398999999999996E-2</v>
      </c>
      <c r="R66">
        <v>7.2502999999999998E-2</v>
      </c>
      <c r="S66">
        <v>-6.3261223000000005E-2</v>
      </c>
      <c r="T66">
        <v>-6.7541830000000004E-3</v>
      </c>
      <c r="U66">
        <v>0.92400000000000004</v>
      </c>
      <c r="V66">
        <v>1</v>
      </c>
      <c r="X66" t="s">
        <v>13</v>
      </c>
      <c r="AI66" t="s">
        <v>13</v>
      </c>
      <c r="AS66" s="14"/>
    </row>
    <row r="67" spans="1:45" x14ac:dyDescent="0.25">
      <c r="A67" s="14"/>
      <c r="B67" t="s">
        <v>14</v>
      </c>
      <c r="C67">
        <v>-7.3000000000000001E-3</v>
      </c>
      <c r="D67">
        <v>-8.0210000000000004E-3</v>
      </c>
      <c r="E67">
        <v>-7.0700299999999999E-4</v>
      </c>
      <c r="F67">
        <v>4.2403999999999997E-2</v>
      </c>
      <c r="G67">
        <v>4.3225E-2</v>
      </c>
      <c r="H67">
        <v>1.9341349599999998E-2</v>
      </c>
      <c r="I67">
        <v>9.6664806699999994E-2</v>
      </c>
      <c r="J67">
        <v>0.95399999999999996</v>
      </c>
      <c r="K67">
        <v>0.05</v>
      </c>
      <c r="M67" t="s">
        <v>14</v>
      </c>
      <c r="N67">
        <v>-7.6E-3</v>
      </c>
      <c r="O67">
        <v>-7.9970000000000006E-3</v>
      </c>
      <c r="P67">
        <v>-3.7901900000000002E-4</v>
      </c>
      <c r="Q67">
        <v>4.3582000000000003E-2</v>
      </c>
      <c r="R67">
        <v>4.4149000000000001E-2</v>
      </c>
      <c r="S67">
        <v>1.3021009599999999E-2</v>
      </c>
      <c r="T67">
        <v>4.9753029599999998E-2</v>
      </c>
      <c r="U67">
        <v>0.94599999999999995</v>
      </c>
      <c r="V67">
        <v>5.6000000000000001E-2</v>
      </c>
      <c r="X67" t="s">
        <v>14</v>
      </c>
      <c r="AI67" t="s">
        <v>14</v>
      </c>
      <c r="AS67" s="14"/>
    </row>
    <row r="68" spans="1:45" x14ac:dyDescent="0.25">
      <c r="A68" s="14"/>
      <c r="B68" t="s">
        <v>15</v>
      </c>
      <c r="C68">
        <v>-0.45419999999999999</v>
      </c>
      <c r="D68">
        <v>-0.45296700000000001</v>
      </c>
      <c r="E68">
        <v>1.2215023000000001E-3</v>
      </c>
      <c r="F68">
        <v>4.7912999999999997E-2</v>
      </c>
      <c r="G68">
        <v>4.5297999999999998E-2</v>
      </c>
      <c r="H68">
        <v>-5.4581119999999997E-2</v>
      </c>
      <c r="I68">
        <v>-2.6894200000000001E-3</v>
      </c>
      <c r="J68">
        <v>0.92700000000000005</v>
      </c>
      <c r="K68">
        <v>1</v>
      </c>
      <c r="M68" t="s">
        <v>15</v>
      </c>
      <c r="N68">
        <v>-0.4551</v>
      </c>
      <c r="O68">
        <v>-0.46174199999999999</v>
      </c>
      <c r="P68">
        <v>-6.610154E-3</v>
      </c>
      <c r="Q68">
        <v>5.0368000000000003E-2</v>
      </c>
      <c r="R68">
        <v>4.7768999999999999E-2</v>
      </c>
      <c r="S68">
        <v>-5.1608876999999997E-2</v>
      </c>
      <c r="T68">
        <v>1.4523601299999999E-2</v>
      </c>
      <c r="U68">
        <v>0.92200000000000004</v>
      </c>
      <c r="V68">
        <v>1</v>
      </c>
      <c r="X68" t="s">
        <v>15</v>
      </c>
      <c r="AI68" t="s">
        <v>15</v>
      </c>
      <c r="AS68" s="14"/>
    </row>
    <row r="69" spans="1:45" x14ac:dyDescent="0.25">
      <c r="A69" s="14"/>
      <c r="B69" t="s">
        <v>16</v>
      </c>
      <c r="C69">
        <v>-8.2500000000000004E-2</v>
      </c>
      <c r="D69">
        <v>-8.6063000000000001E-2</v>
      </c>
      <c r="E69">
        <v>-3.5205940000000002E-3</v>
      </c>
      <c r="F69">
        <v>5.4747999999999998E-2</v>
      </c>
      <c r="G69">
        <v>5.4198999999999997E-2</v>
      </c>
      <c r="H69">
        <v>-1.001034E-2</v>
      </c>
      <c r="I69">
        <v>4.2651940999999999E-2</v>
      </c>
      <c r="J69">
        <v>0.94899999999999995</v>
      </c>
      <c r="K69">
        <v>0.37</v>
      </c>
      <c r="M69" t="s">
        <v>16</v>
      </c>
      <c r="N69">
        <v>-8.0399999999999999E-2</v>
      </c>
      <c r="O69">
        <v>-8.1383999999999998E-2</v>
      </c>
      <c r="P69">
        <v>-9.7728799999999998E-4</v>
      </c>
      <c r="Q69">
        <v>5.6168000000000003E-2</v>
      </c>
      <c r="R69">
        <v>5.5261999999999999E-2</v>
      </c>
      <c r="S69">
        <v>-1.6118974000000001E-2</v>
      </c>
      <c r="T69">
        <v>1.21543346E-2</v>
      </c>
      <c r="U69">
        <v>0.94599999999999995</v>
      </c>
      <c r="V69">
        <v>0.32500000000000001</v>
      </c>
      <c r="X69" t="s">
        <v>16</v>
      </c>
      <c r="AI69" t="s">
        <v>16</v>
      </c>
      <c r="AS69" s="14"/>
    </row>
    <row r="70" spans="1:45" x14ac:dyDescent="0.25">
      <c r="A70" s="14"/>
      <c r="B70" t="s">
        <v>17</v>
      </c>
      <c r="C70">
        <v>-0.12590000000000001</v>
      </c>
      <c r="D70">
        <v>-0.12590899999999999</v>
      </c>
      <c r="E70">
        <v>3.7107899999999998E-5</v>
      </c>
      <c r="F70">
        <v>4.9560000000000003E-3</v>
      </c>
      <c r="G70">
        <v>4.9160000000000002E-3</v>
      </c>
      <c r="H70">
        <v>-8.1761660000000003E-3</v>
      </c>
      <c r="I70">
        <v>-2.9463299999999998E-4</v>
      </c>
      <c r="J70">
        <v>0.94699999999999995</v>
      </c>
      <c r="K70">
        <v>1</v>
      </c>
      <c r="M70" t="s">
        <v>17</v>
      </c>
      <c r="N70">
        <v>-0.1255</v>
      </c>
      <c r="O70">
        <v>-0.12558800000000001</v>
      </c>
      <c r="P70">
        <v>-1.2320000000000001E-4</v>
      </c>
      <c r="Q70">
        <v>4.8799999999999998E-3</v>
      </c>
      <c r="R70">
        <v>4.8329999999999996E-3</v>
      </c>
      <c r="S70">
        <v>-9.6477520000000008E-3</v>
      </c>
      <c r="T70">
        <v>9.8195149999999996E-4</v>
      </c>
      <c r="U70">
        <v>0.94599999999999995</v>
      </c>
      <c r="V70">
        <v>1</v>
      </c>
      <c r="X70" t="s">
        <v>17</v>
      </c>
      <c r="AI70" t="s">
        <v>17</v>
      </c>
      <c r="AS70" s="14"/>
    </row>
    <row r="71" spans="1:45" x14ac:dyDescent="0.25">
      <c r="A71" s="14"/>
      <c r="B71" t="s">
        <v>18</v>
      </c>
      <c r="C71">
        <v>-6.9999999999999999E-4</v>
      </c>
      <c r="D71">
        <v>-7.6300000000000001E-4</v>
      </c>
      <c r="E71">
        <v>-5.4833999999999997E-5</v>
      </c>
      <c r="F71">
        <v>2.5600000000000002E-3</v>
      </c>
      <c r="G71">
        <v>2.4750000000000002E-3</v>
      </c>
      <c r="H71">
        <v>-3.3277800000000003E-2</v>
      </c>
      <c r="I71">
        <v>7.7481077300000006E-2</v>
      </c>
      <c r="J71">
        <v>0.94699999999999995</v>
      </c>
      <c r="K71">
        <v>5.7000000000000002E-2</v>
      </c>
      <c r="M71" t="s">
        <v>18</v>
      </c>
      <c r="N71">
        <v>-1.1999999999999999E-3</v>
      </c>
      <c r="O71">
        <v>-1.1839999999999999E-3</v>
      </c>
      <c r="P71">
        <v>8.5491117000000005E-6</v>
      </c>
      <c r="Q71">
        <v>2.5660000000000001E-3</v>
      </c>
      <c r="R71">
        <v>2.4729999999999999E-3</v>
      </c>
      <c r="S71">
        <v>-3.6160019000000002E-2</v>
      </c>
      <c r="T71">
        <v>-7.1698769999999998E-3</v>
      </c>
      <c r="U71">
        <v>0.94399999999999995</v>
      </c>
      <c r="V71">
        <v>8.5999999999999993E-2</v>
      </c>
      <c r="X71" t="s">
        <v>18</v>
      </c>
      <c r="AI71" t="s">
        <v>18</v>
      </c>
      <c r="AS71" s="14"/>
    </row>
  </sheetData>
  <mergeCells count="20">
    <mergeCell ref="A63:A71"/>
    <mergeCell ref="AS63:AS71"/>
    <mergeCell ref="A33:A41"/>
    <mergeCell ref="AS33:AS41"/>
    <mergeCell ref="A43:A51"/>
    <mergeCell ref="AS43:AS51"/>
    <mergeCell ref="A53:A61"/>
    <mergeCell ref="AS53:AS61"/>
    <mergeCell ref="A3:A11"/>
    <mergeCell ref="AS3:AS11"/>
    <mergeCell ref="A13:A21"/>
    <mergeCell ref="AS13:AS21"/>
    <mergeCell ref="A23:A31"/>
    <mergeCell ref="AS23:AS31"/>
    <mergeCell ref="B1:V1"/>
    <mergeCell ref="X1:AR1"/>
    <mergeCell ref="B2:K2"/>
    <mergeCell ref="M2:V2"/>
    <mergeCell ref="X2:AG2"/>
    <mergeCell ref="AI2:AR2"/>
  </mergeCells>
  <conditionalFormatting sqref="J5:J11">
    <cfRule type="cellIs" dxfId="231" priority="33" stopIfTrue="1" operator="between">
      <formula>0.9365</formula>
      <formula>0.9635</formula>
    </cfRule>
    <cfRule type="cellIs" dxfId="230" priority="34" stopIfTrue="1" operator="between">
      <formula>0</formula>
      <formula>1</formula>
    </cfRule>
    <cfRule type="cellIs" dxfId="229" priority="35" stopIfTrue="1" operator="between">
      <formula>0.8</formula>
      <formula>0.9</formula>
    </cfRule>
    <cfRule type="cellIs" dxfId="228" priority="36" stopIfTrue="1" operator="between">
      <formula>0</formula>
      <formula>0.8</formula>
    </cfRule>
  </conditionalFormatting>
  <conditionalFormatting sqref="J15:J21">
    <cfRule type="cellIs" dxfId="227" priority="25" stopIfTrue="1" operator="between">
      <formula>0.9365</formula>
      <formula>0.9635</formula>
    </cfRule>
    <cfRule type="cellIs" dxfId="226" priority="26" stopIfTrue="1" operator="between">
      <formula>0</formula>
      <formula>1</formula>
    </cfRule>
    <cfRule type="cellIs" dxfId="225" priority="27" stopIfTrue="1" operator="between">
      <formula>0.8</formula>
      <formula>0.9</formula>
    </cfRule>
    <cfRule type="cellIs" dxfId="224" priority="28" stopIfTrue="1" operator="between">
      <formula>0</formula>
      <formula>0.8</formula>
    </cfRule>
  </conditionalFormatting>
  <conditionalFormatting sqref="J25:J31">
    <cfRule type="cellIs" dxfId="223" priority="29" stopIfTrue="1" operator="between">
      <formula>0.95</formula>
      <formula>1</formula>
    </cfRule>
    <cfRule type="cellIs" dxfId="222" priority="30" stopIfTrue="1" operator="between">
      <formula>0.9</formula>
      <formula>0.95</formula>
    </cfRule>
    <cfRule type="cellIs" dxfId="221" priority="31" stopIfTrue="1" operator="between">
      <formula>0.8</formula>
      <formula>0.9</formula>
    </cfRule>
    <cfRule type="cellIs" dxfId="220" priority="32" stopIfTrue="1" operator="between">
      <formula>0</formula>
      <formula>0.8</formula>
    </cfRule>
  </conditionalFormatting>
  <conditionalFormatting sqref="J35:J41">
    <cfRule type="cellIs" dxfId="219" priority="21" stopIfTrue="1" operator="between">
      <formula>0.9365</formula>
      <formula>0.9635</formula>
    </cfRule>
    <cfRule type="cellIs" dxfId="218" priority="22" stopIfTrue="1" operator="between">
      <formula>0</formula>
      <formula>1</formula>
    </cfRule>
    <cfRule type="cellIs" dxfId="217" priority="23" stopIfTrue="1" operator="between">
      <formula>0.8</formula>
      <formula>0.9</formula>
    </cfRule>
    <cfRule type="cellIs" dxfId="216" priority="24" stopIfTrue="1" operator="between">
      <formula>0</formula>
      <formula>0.8</formula>
    </cfRule>
  </conditionalFormatting>
  <conditionalFormatting sqref="J45:J51">
    <cfRule type="cellIs" dxfId="215" priority="19" stopIfTrue="1" operator="between">
      <formula>0.8</formula>
      <formula>0.9</formula>
    </cfRule>
    <cfRule type="cellIs" dxfId="214" priority="17" stopIfTrue="1" operator="between">
      <formula>0.9365</formula>
      <formula>0.9635</formula>
    </cfRule>
    <cfRule type="cellIs" dxfId="213" priority="18" stopIfTrue="1" operator="between">
      <formula>0</formula>
      <formula>1</formula>
    </cfRule>
    <cfRule type="cellIs" dxfId="212" priority="20" stopIfTrue="1" operator="between">
      <formula>0</formula>
      <formula>0.8</formula>
    </cfRule>
  </conditionalFormatting>
  <conditionalFormatting sqref="J55:J61">
    <cfRule type="cellIs" dxfId="211" priority="13" stopIfTrue="1" operator="between">
      <formula>0.9365</formula>
      <formula>0.9635</formula>
    </cfRule>
    <cfRule type="cellIs" dxfId="210" priority="14" stopIfTrue="1" operator="between">
      <formula>0</formula>
      <formula>1</formula>
    </cfRule>
    <cfRule type="cellIs" dxfId="209" priority="15" stopIfTrue="1" operator="between">
      <formula>0.8</formula>
      <formula>0.9</formula>
    </cfRule>
    <cfRule type="cellIs" dxfId="208" priority="16" stopIfTrue="1" operator="between">
      <formula>0</formula>
      <formula>0.8</formula>
    </cfRule>
  </conditionalFormatting>
  <conditionalFormatting sqref="J65:J71">
    <cfRule type="cellIs" dxfId="207" priority="9" stopIfTrue="1" operator="between">
      <formula>0.9365</formula>
      <formula>0.9635</formula>
    </cfRule>
    <cfRule type="cellIs" dxfId="206" priority="11" stopIfTrue="1" operator="between">
      <formula>0.8</formula>
      <formula>0.9</formula>
    </cfRule>
    <cfRule type="cellIs" dxfId="205" priority="12" stopIfTrue="1" operator="between">
      <formula>0</formula>
      <formula>0.8</formula>
    </cfRule>
    <cfRule type="cellIs" dxfId="204" priority="10" stopIfTrue="1" operator="between">
      <formula>0</formula>
      <formula>1</formula>
    </cfRule>
  </conditionalFormatting>
  <conditionalFormatting sqref="U5:U11">
    <cfRule type="cellIs" dxfId="203" priority="56" stopIfTrue="1" operator="between">
      <formula>0</formula>
      <formula>0.8</formula>
    </cfRule>
    <cfRule type="cellIs" dxfId="202" priority="55" stopIfTrue="1" operator="between">
      <formula>0.8</formula>
      <formula>0.9</formula>
    </cfRule>
    <cfRule type="cellIs" dxfId="201" priority="54" stopIfTrue="1" operator="between">
      <formula>0</formula>
      <formula>1</formula>
    </cfRule>
    <cfRule type="cellIs" dxfId="200" priority="53" stopIfTrue="1" operator="between">
      <formula>0.9365</formula>
      <formula>0.9635</formula>
    </cfRule>
  </conditionalFormatting>
  <conditionalFormatting sqref="U15:U21">
    <cfRule type="cellIs" dxfId="199" priority="46" stopIfTrue="1" operator="between">
      <formula>0</formula>
      <formula>1</formula>
    </cfRule>
    <cfRule type="cellIs" dxfId="198" priority="45" stopIfTrue="1" operator="between">
      <formula>0.9365</formula>
      <formula>0.9635</formula>
    </cfRule>
    <cfRule type="cellIs" dxfId="197" priority="47" stopIfTrue="1" operator="between">
      <formula>0.8</formula>
      <formula>0.9</formula>
    </cfRule>
    <cfRule type="cellIs" dxfId="196" priority="48" stopIfTrue="1" operator="between">
      <formula>0</formula>
      <formula>0.8</formula>
    </cfRule>
  </conditionalFormatting>
  <conditionalFormatting sqref="U25:U31">
    <cfRule type="cellIs" dxfId="195" priority="49" stopIfTrue="1" operator="between">
      <formula>0.95</formula>
      <formula>1</formula>
    </cfRule>
    <cfRule type="cellIs" dxfId="194" priority="50" stopIfTrue="1" operator="between">
      <formula>0.9</formula>
      <formula>0.95</formula>
    </cfRule>
    <cfRule type="cellIs" dxfId="193" priority="51" stopIfTrue="1" operator="between">
      <formula>0.8</formula>
      <formula>0.9</formula>
    </cfRule>
    <cfRule type="cellIs" dxfId="192" priority="52" stopIfTrue="1" operator="between">
      <formula>0</formula>
      <formula>0.8</formula>
    </cfRule>
  </conditionalFormatting>
  <conditionalFormatting sqref="U35:U41">
    <cfRule type="cellIs" dxfId="191" priority="41" stopIfTrue="1" operator="between">
      <formula>0.9365</formula>
      <formula>0.9635</formula>
    </cfRule>
    <cfRule type="cellIs" dxfId="190" priority="42" stopIfTrue="1" operator="between">
      <formula>0</formula>
      <formula>1</formula>
    </cfRule>
    <cfRule type="cellIs" dxfId="189" priority="43" stopIfTrue="1" operator="between">
      <formula>0.8</formula>
      <formula>0.9</formula>
    </cfRule>
    <cfRule type="cellIs" dxfId="188" priority="44" stopIfTrue="1" operator="between">
      <formula>0</formula>
      <formula>0.8</formula>
    </cfRule>
  </conditionalFormatting>
  <conditionalFormatting sqref="U45:U51">
    <cfRule type="cellIs" dxfId="187" priority="38" stopIfTrue="1" operator="between">
      <formula>0</formula>
      <formula>1</formula>
    </cfRule>
    <cfRule type="cellIs" dxfId="186" priority="37" stopIfTrue="1" operator="between">
      <formula>0.9365</formula>
      <formula>0.9635</formula>
    </cfRule>
    <cfRule type="cellIs" dxfId="185" priority="39" stopIfTrue="1" operator="between">
      <formula>0.8</formula>
      <formula>0.9</formula>
    </cfRule>
    <cfRule type="cellIs" dxfId="184" priority="40" stopIfTrue="1" operator="between">
      <formula>0</formula>
      <formula>0.8</formula>
    </cfRule>
  </conditionalFormatting>
  <conditionalFormatting sqref="U55:U61">
    <cfRule type="cellIs" dxfId="183" priority="2" stopIfTrue="1" operator="between">
      <formula>0</formula>
      <formula>1</formula>
    </cfRule>
    <cfRule type="cellIs" dxfId="182" priority="3" stopIfTrue="1" operator="between">
      <formula>0.8</formula>
      <formula>0.9</formula>
    </cfRule>
    <cfRule type="cellIs" dxfId="181" priority="4" stopIfTrue="1" operator="between">
      <formula>0</formula>
      <formula>0.8</formula>
    </cfRule>
    <cfRule type="cellIs" dxfId="180" priority="1" stopIfTrue="1" operator="between">
      <formula>0.9365</formula>
      <formula>0.9635</formula>
    </cfRule>
  </conditionalFormatting>
  <conditionalFormatting sqref="U65:U71">
    <cfRule type="cellIs" dxfId="179" priority="5" stopIfTrue="1" operator="between">
      <formula>0.9365</formula>
      <formula>0.9635</formula>
    </cfRule>
    <cfRule type="cellIs" dxfId="178" priority="8" stopIfTrue="1" operator="between">
      <formula>0</formula>
      <formula>0.8</formula>
    </cfRule>
    <cfRule type="cellIs" dxfId="177" priority="7" stopIfTrue="1" operator="between">
      <formula>0.8</formula>
      <formula>0.9</formula>
    </cfRule>
    <cfRule type="cellIs" dxfId="176" priority="6" stopIfTrue="1" operator="between">
      <formula>0</formula>
      <formula>1</formula>
    </cfRule>
  </conditionalFormatting>
  <conditionalFormatting sqref="AF5:AF11">
    <cfRule type="cellIs" dxfId="175" priority="221" stopIfTrue="1" operator="between">
      <formula>0.9365</formula>
      <formula>0.9635</formula>
    </cfRule>
    <cfRule type="cellIs" dxfId="174" priority="222" stopIfTrue="1" operator="between">
      <formula>0.9095</formula>
      <formula>0.9905</formula>
    </cfRule>
    <cfRule type="cellIs" dxfId="173" priority="223" stopIfTrue="1" operator="between">
      <formula>0</formula>
      <formula>1</formula>
    </cfRule>
    <cfRule type="cellIs" dxfId="172" priority="224" stopIfTrue="1" operator="between">
      <formula>0</formula>
      <formula>0.8</formula>
    </cfRule>
  </conditionalFormatting>
  <conditionalFormatting sqref="AF15:AF21">
    <cfRule type="cellIs" dxfId="171" priority="225" stopIfTrue="1" operator="between">
      <formula>0.9365</formula>
      <formula>0.9635</formula>
    </cfRule>
    <cfRule type="cellIs" dxfId="170" priority="226" stopIfTrue="1" operator="between">
      <formula>0.9095</formula>
      <formula>0.9905</formula>
    </cfRule>
    <cfRule type="cellIs" dxfId="169" priority="227" stopIfTrue="1" operator="between">
      <formula>0</formula>
      <formula>1</formula>
    </cfRule>
    <cfRule type="cellIs" dxfId="168" priority="228" stopIfTrue="1" operator="between">
      <formula>0</formula>
      <formula>0.8</formula>
    </cfRule>
  </conditionalFormatting>
  <conditionalFormatting sqref="AF25:AF31">
    <cfRule type="cellIs" dxfId="167" priority="248" stopIfTrue="1" operator="between">
      <formula>0</formula>
      <formula>0.8</formula>
    </cfRule>
    <cfRule type="cellIs" dxfId="166" priority="245" stopIfTrue="1" operator="between">
      <formula>0.95</formula>
      <formula>1</formula>
    </cfRule>
    <cfRule type="cellIs" dxfId="165" priority="246" stopIfTrue="1" operator="between">
      <formula>0.9</formula>
      <formula>0.95</formula>
    </cfRule>
    <cfRule type="cellIs" dxfId="164" priority="247" stopIfTrue="1" operator="between">
      <formula>0.8</formula>
      <formula>0.9</formula>
    </cfRule>
  </conditionalFormatting>
  <conditionalFormatting sqref="AF35:AF41">
    <cfRule type="cellIs" dxfId="163" priority="229" stopIfTrue="1" operator="between">
      <formula>0.9365</formula>
      <formula>0.9635</formula>
    </cfRule>
    <cfRule type="cellIs" dxfId="162" priority="230" stopIfTrue="1" operator="between">
      <formula>0.9095</formula>
      <formula>0.9905</formula>
    </cfRule>
    <cfRule type="cellIs" dxfId="161" priority="231" stopIfTrue="1" operator="between">
      <formula>0</formula>
      <formula>1</formula>
    </cfRule>
    <cfRule type="cellIs" dxfId="160" priority="232" stopIfTrue="1" operator="between">
      <formula>0</formula>
      <formula>0.8</formula>
    </cfRule>
  </conditionalFormatting>
  <conditionalFormatting sqref="AF45:AF51">
    <cfRule type="cellIs" dxfId="159" priority="236" stopIfTrue="1" operator="between">
      <formula>0</formula>
      <formula>0.8</formula>
    </cfRule>
    <cfRule type="cellIs" dxfId="158" priority="234" stopIfTrue="1" operator="between">
      <formula>0.9095</formula>
      <formula>0.9905</formula>
    </cfRule>
    <cfRule type="cellIs" dxfId="157" priority="233" stopIfTrue="1" operator="between">
      <formula>0.9365</formula>
      <formula>0.9635</formula>
    </cfRule>
    <cfRule type="cellIs" dxfId="156" priority="235" stopIfTrue="1" operator="between">
      <formula>0</formula>
      <formula>1</formula>
    </cfRule>
  </conditionalFormatting>
  <conditionalFormatting sqref="AF55:AF61">
    <cfRule type="cellIs" dxfId="155" priority="241" stopIfTrue="1" operator="between">
      <formula>0.9365</formula>
      <formula>0.9635</formula>
    </cfRule>
    <cfRule type="cellIs" dxfId="154" priority="242" stopIfTrue="1" operator="between">
      <formula>0.9095</formula>
      <formula>0.9905</formula>
    </cfRule>
    <cfRule type="cellIs" dxfId="153" priority="243" stopIfTrue="1" operator="between">
      <formula>0</formula>
      <formula>1</formula>
    </cfRule>
    <cfRule type="cellIs" dxfId="152" priority="244" stopIfTrue="1" operator="between">
      <formula>0</formula>
      <formula>0.8</formula>
    </cfRule>
  </conditionalFormatting>
  <conditionalFormatting sqref="AF65:AF71">
    <cfRule type="cellIs" dxfId="151" priority="238" stopIfTrue="1" operator="between">
      <formula>0.9095</formula>
      <formula>0.9905</formula>
    </cfRule>
    <cfRule type="cellIs" dxfId="150" priority="237" stopIfTrue="1" operator="between">
      <formula>0.9365</formula>
      <formula>0.9635</formula>
    </cfRule>
    <cfRule type="cellIs" dxfId="149" priority="239" stopIfTrue="1" operator="between">
      <formula>0</formula>
      <formula>1</formula>
    </cfRule>
    <cfRule type="cellIs" dxfId="148" priority="240" stopIfTrue="1" operator="between">
      <formula>0</formula>
      <formula>0.8</formula>
    </cfRule>
  </conditionalFormatting>
  <conditionalFormatting sqref="AQ5:AQ11">
    <cfRule type="cellIs" dxfId="147" priority="193" stopIfTrue="1" operator="between">
      <formula>0.9365</formula>
      <formula>0.9635</formula>
    </cfRule>
    <cfRule type="cellIs" dxfId="146" priority="194" stopIfTrue="1" operator="between">
      <formula>0.9095</formula>
      <formula>0.9905</formula>
    </cfRule>
    <cfRule type="cellIs" dxfId="145" priority="195" stopIfTrue="1" operator="between">
      <formula>0</formula>
      <formula>1</formula>
    </cfRule>
    <cfRule type="cellIs" dxfId="144" priority="196" stopIfTrue="1" operator="between">
      <formula>0</formula>
      <formula>0.8</formula>
    </cfRule>
  </conditionalFormatting>
  <conditionalFormatting sqref="AQ15:AQ21">
    <cfRule type="cellIs" dxfId="143" priority="197" stopIfTrue="1" operator="between">
      <formula>0.9365</formula>
      <formula>0.9635</formula>
    </cfRule>
    <cfRule type="cellIs" dxfId="142" priority="198" stopIfTrue="1" operator="between">
      <formula>0.9095</formula>
      <formula>0.9905</formula>
    </cfRule>
    <cfRule type="cellIs" dxfId="141" priority="199" stopIfTrue="1" operator="between">
      <formula>0</formula>
      <formula>1</formula>
    </cfRule>
    <cfRule type="cellIs" dxfId="140" priority="200" stopIfTrue="1" operator="between">
      <formula>0</formula>
      <formula>0.8</formula>
    </cfRule>
  </conditionalFormatting>
  <conditionalFormatting sqref="AQ25:AQ31">
    <cfRule type="cellIs" dxfId="139" priority="220" stopIfTrue="1" operator="between">
      <formula>0</formula>
      <formula>0.8</formula>
    </cfRule>
    <cfRule type="cellIs" dxfId="138" priority="217" stopIfTrue="1" operator="between">
      <formula>0.95</formula>
      <formula>1</formula>
    </cfRule>
    <cfRule type="cellIs" dxfId="137" priority="218" stopIfTrue="1" operator="between">
      <formula>0.9</formula>
      <formula>0.95</formula>
    </cfRule>
    <cfRule type="cellIs" dxfId="136" priority="219" stopIfTrue="1" operator="between">
      <formula>0.8</formula>
      <formula>0.9</formula>
    </cfRule>
  </conditionalFormatting>
  <conditionalFormatting sqref="AQ35:AQ41">
    <cfRule type="cellIs" dxfId="135" priority="201" stopIfTrue="1" operator="between">
      <formula>0.9365</formula>
      <formula>0.9635</formula>
    </cfRule>
    <cfRule type="cellIs" dxfId="134" priority="202" stopIfTrue="1" operator="between">
      <formula>0.9095</formula>
      <formula>0.9905</formula>
    </cfRule>
    <cfRule type="cellIs" dxfId="133" priority="203" stopIfTrue="1" operator="between">
      <formula>0</formula>
      <formula>1</formula>
    </cfRule>
    <cfRule type="cellIs" dxfId="132" priority="204" stopIfTrue="1" operator="between">
      <formula>0</formula>
      <formula>0.8</formula>
    </cfRule>
  </conditionalFormatting>
  <conditionalFormatting sqref="AQ45:AQ51">
    <cfRule type="cellIs" dxfId="131" priority="207" stopIfTrue="1" operator="between">
      <formula>0</formula>
      <formula>1</formula>
    </cfRule>
    <cfRule type="cellIs" dxfId="130" priority="208" stopIfTrue="1" operator="between">
      <formula>0</formula>
      <formula>0.8</formula>
    </cfRule>
    <cfRule type="cellIs" dxfId="129" priority="205" stopIfTrue="1" operator="between">
      <formula>0.9365</formula>
      <formula>0.9635</formula>
    </cfRule>
    <cfRule type="cellIs" dxfId="128" priority="206" stopIfTrue="1" operator="between">
      <formula>0.9095</formula>
      <formula>0.9905</formula>
    </cfRule>
  </conditionalFormatting>
  <conditionalFormatting sqref="AQ55:AQ61">
    <cfRule type="cellIs" dxfId="127" priority="215" stopIfTrue="1" operator="between">
      <formula>0</formula>
      <formula>1</formula>
    </cfRule>
    <cfRule type="cellIs" dxfId="126" priority="214" stopIfTrue="1" operator="between">
      <formula>0.9095</formula>
      <formula>0.9905</formula>
    </cfRule>
    <cfRule type="cellIs" dxfId="125" priority="216" stopIfTrue="1" operator="between">
      <formula>0</formula>
      <formula>0.8</formula>
    </cfRule>
    <cfRule type="cellIs" dxfId="124" priority="213" stopIfTrue="1" operator="between">
      <formula>0.9365</formula>
      <formula>0.9635</formula>
    </cfRule>
  </conditionalFormatting>
  <conditionalFormatting sqref="AQ65:AQ71">
    <cfRule type="cellIs" dxfId="123" priority="209" stopIfTrue="1" operator="between">
      <formula>0.9365</formula>
      <formula>0.9635</formula>
    </cfRule>
    <cfRule type="cellIs" dxfId="122" priority="210" stopIfTrue="1" operator="between">
      <formula>0.9095</formula>
      <formula>0.9905</formula>
    </cfRule>
    <cfRule type="cellIs" dxfId="121" priority="211" stopIfTrue="1" operator="between">
      <formula>0</formula>
      <formula>1</formula>
    </cfRule>
    <cfRule type="cellIs" dxfId="120" priority="21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E9B7-A9E0-4111-801A-534E3D619D0C}">
  <dimension ref="A1:AU71"/>
  <sheetViews>
    <sheetView topLeftCell="A43" zoomScaleNormal="100" workbookViewId="0">
      <selection activeCell="B53" sqref="B53"/>
    </sheetView>
  </sheetViews>
  <sheetFormatPr defaultRowHeight="15" x14ac:dyDescent="0.25"/>
  <cols>
    <col min="1" max="1" width="6.140625" customWidth="1"/>
    <col min="12" max="12" width="3.85546875" customWidth="1"/>
    <col min="23" max="23" width="0" hidden="1" customWidth="1"/>
    <col min="24" max="28" width="9.140625" hidden="1" customWidth="1"/>
    <col min="29" max="29" width="11.85546875" hidden="1" customWidth="1"/>
    <col min="30" max="30" width="12.140625" hidden="1" customWidth="1"/>
    <col min="31" max="31" width="19.7109375" hidden="1" customWidth="1"/>
    <col min="32" max="33" width="9.140625" hidden="1" customWidth="1"/>
    <col min="34" max="34" width="2.85546875" hidden="1" customWidth="1"/>
    <col min="35" max="35" width="9" hidden="1" customWidth="1"/>
    <col min="36" max="44" width="0" hidden="1" customWidth="1"/>
    <col min="47" max="47" width="36.5703125" bestFit="1" customWidth="1"/>
  </cols>
  <sheetData>
    <row r="1" spans="1:47" x14ac:dyDescent="0.25">
      <c r="B1" s="15" t="s">
        <v>621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"/>
      <c r="X1" s="15" t="s">
        <v>77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</row>
    <row r="2" spans="1:47" x14ac:dyDescent="0.25">
      <c r="B2" s="15" t="s">
        <v>619</v>
      </c>
      <c r="C2" s="15"/>
      <c r="D2" s="15"/>
      <c r="E2" s="15"/>
      <c r="F2" s="15"/>
      <c r="G2" s="15"/>
      <c r="H2" s="15"/>
      <c r="I2" s="15"/>
      <c r="J2" s="15"/>
      <c r="K2" s="15"/>
      <c r="L2" s="7"/>
      <c r="M2" s="15" t="s">
        <v>620</v>
      </c>
      <c r="N2" s="15"/>
      <c r="O2" s="15"/>
      <c r="P2" s="15"/>
      <c r="Q2" s="15"/>
      <c r="R2" s="15"/>
      <c r="S2" s="15"/>
      <c r="T2" s="15"/>
      <c r="U2" s="15"/>
      <c r="V2" s="15"/>
      <c r="X2" s="15" t="s">
        <v>65</v>
      </c>
      <c r="Y2" s="15"/>
      <c r="Z2" s="15"/>
      <c r="AA2" s="15"/>
      <c r="AB2" s="15"/>
      <c r="AC2" s="15"/>
      <c r="AD2" s="15"/>
      <c r="AE2" s="15"/>
      <c r="AF2" s="15"/>
      <c r="AG2" s="15"/>
      <c r="AI2" s="15" t="s">
        <v>66</v>
      </c>
      <c r="AJ2" s="15"/>
      <c r="AK2" s="15"/>
      <c r="AL2" s="15"/>
      <c r="AM2" s="15"/>
      <c r="AN2" s="15"/>
      <c r="AO2" s="15"/>
      <c r="AP2" s="15"/>
      <c r="AQ2" s="15"/>
      <c r="AR2" s="15"/>
    </row>
    <row r="3" spans="1:47" ht="14.45" customHeight="1" x14ac:dyDescent="0.25">
      <c r="A3" s="14" t="s">
        <v>67</v>
      </c>
      <c r="B3" s="1" t="s">
        <v>681</v>
      </c>
      <c r="J3" s="12" t="str">
        <f>INDEX('Method Codes'!$B:$B, MATCH(B3, 'Method Codes'!$I:$I,0))</f>
        <v>IND</v>
      </c>
      <c r="K3" s="12" t="str">
        <f>INDEX('Method Codes'!$H:$H, MATCH(B3, 'Method Codes'!$I:$I,0))</f>
        <v>1J</v>
      </c>
      <c r="M3" s="1" t="s">
        <v>682</v>
      </c>
      <c r="U3" s="12" t="str">
        <f>INDEX('Method Codes'!$B:$B, MATCH(M3, 'Method Codes'!$I:$I,0))</f>
        <v>EXCH</v>
      </c>
      <c r="V3" s="12" t="str">
        <f>INDEX('Method Codes'!$H:$H, MATCH(M3, 'Method Codes'!$I:$I,0))</f>
        <v>1J</v>
      </c>
      <c r="X3" s="1" t="s">
        <v>683</v>
      </c>
      <c r="AI3" s="1" t="s">
        <v>684</v>
      </c>
      <c r="AS3" s="14" t="s">
        <v>67</v>
      </c>
      <c r="AU3">
        <v>1</v>
      </c>
    </row>
    <row r="4" spans="1:47" x14ac:dyDescent="0.25">
      <c r="A4" s="14"/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C4" t="s">
        <v>7</v>
      </c>
      <c r="AD4" t="s">
        <v>8</v>
      </c>
      <c r="AE4" t="s">
        <v>9</v>
      </c>
      <c r="AF4" t="s">
        <v>10</v>
      </c>
      <c r="AG4" t="s">
        <v>11</v>
      </c>
      <c r="AI4" t="s">
        <v>2</v>
      </c>
      <c r="AJ4" t="s">
        <v>3</v>
      </c>
      <c r="AK4" t="s">
        <v>4</v>
      </c>
      <c r="AL4" t="s">
        <v>5</v>
      </c>
      <c r="AM4" t="s">
        <v>6</v>
      </c>
      <c r="AN4" t="s">
        <v>7</v>
      </c>
      <c r="AO4" t="s">
        <v>8</v>
      </c>
      <c r="AP4" t="s">
        <v>9</v>
      </c>
      <c r="AQ4" t="s">
        <v>10</v>
      </c>
      <c r="AR4" t="s">
        <v>11</v>
      </c>
      <c r="AS4" s="14"/>
      <c r="AU4" t="s">
        <v>99</v>
      </c>
    </row>
    <row r="5" spans="1:47" x14ac:dyDescent="0.25">
      <c r="A5" s="14"/>
      <c r="B5" t="s">
        <v>12</v>
      </c>
      <c r="C5" cm="1">
        <f t="array" ref="C5:K11">_xlfn.LET(
_xlpm.keyA, J3,
_xlpm.keyB, K3,
_xlpm.rowKeys, B5:B11,
_xlpm.colKeys, C4:K4,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">
        <v>3.1294140000000001</v>
      </c>
      <c r="E5">
        <v>-5.9769280000000003E-3</v>
      </c>
      <c r="F5">
        <v>0.17869299999999999</v>
      </c>
      <c r="G5">
        <v>0.17416499999999999</v>
      </c>
      <c r="H5">
        <v>-2.5342816000000001E-2</v>
      </c>
      <c r="I5">
        <v>-1.906278E-3</v>
      </c>
      <c r="J5">
        <v>0.94891304350000005</v>
      </c>
      <c r="K5">
        <v>0</v>
      </c>
      <c r="M5" t="s">
        <v>12</v>
      </c>
      <c r="N5" cm="1">
        <f t="array" ref="N5:V11">_xlfn.LET(
_xlpm.keyA, U3,
_xlpm.keyB, V3,
_xlpm.rowKeys, M5:M11,
_xlpm.colKeys, N4:V4,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">
        <v>3.1572909999999998</v>
      </c>
      <c r="P5">
        <v>3.4031776000000001E-3</v>
      </c>
      <c r="Q5">
        <v>0.17904700000000001</v>
      </c>
      <c r="R5">
        <v>0.17573800000000001</v>
      </c>
      <c r="S5">
        <v>-1.8482175E-2</v>
      </c>
      <c r="T5">
        <v>1.0790419000000001E-3</v>
      </c>
      <c r="U5">
        <v>0.94389438940000003</v>
      </c>
      <c r="V5">
        <v>0</v>
      </c>
      <c r="X5" t="s">
        <v>12</v>
      </c>
      <c r="Y5">
        <v>107.08</v>
      </c>
      <c r="Z5">
        <v>107.111051</v>
      </c>
      <c r="AA5">
        <v>3.3641999999999998E-2</v>
      </c>
      <c r="AB5">
        <v>3.1399999999999999E-4</v>
      </c>
      <c r="AC5">
        <v>1.371326</v>
      </c>
      <c r="AD5">
        <v>1.358079</v>
      </c>
      <c r="AE5">
        <v>-9.6600000000000002E-3</v>
      </c>
      <c r="AF5">
        <v>0.94599999999999995</v>
      </c>
      <c r="AG5">
        <v>0</v>
      </c>
      <c r="AI5" t="s">
        <v>12</v>
      </c>
      <c r="AJ5">
        <v>106.81</v>
      </c>
      <c r="AK5">
        <v>107.238719</v>
      </c>
      <c r="AL5">
        <v>0.42625999999999997</v>
      </c>
      <c r="AM5">
        <v>3.9899999999999996E-3</v>
      </c>
      <c r="AN5">
        <v>1.398466</v>
      </c>
      <c r="AO5">
        <v>1.393958</v>
      </c>
      <c r="AP5">
        <v>-3.2200000000000002E-3</v>
      </c>
      <c r="AQ5">
        <v>0.93899999999999995</v>
      </c>
      <c r="AR5">
        <v>0</v>
      </c>
      <c r="AS5" s="14"/>
      <c r="AU5" t="s">
        <v>100</v>
      </c>
    </row>
    <row r="6" spans="1:47" x14ac:dyDescent="0.25">
      <c r="A6" s="14"/>
      <c r="B6" t="s">
        <v>13</v>
      </c>
      <c r="C6">
        <v>-0.44119999999999998</v>
      </c>
      <c r="D6">
        <v>-0.46011800000000003</v>
      </c>
      <c r="E6">
        <v>-1.8911784000000001E-2</v>
      </c>
      <c r="F6">
        <v>6.6713999999999996E-2</v>
      </c>
      <c r="G6">
        <v>6.5253000000000005E-2</v>
      </c>
      <c r="H6">
        <v>-2.1899939E-2</v>
      </c>
      <c r="I6">
        <v>4.2863813299999998E-2</v>
      </c>
      <c r="J6">
        <v>0.93478260869999996</v>
      </c>
      <c r="K6">
        <v>0</v>
      </c>
      <c r="M6" t="s">
        <v>13</v>
      </c>
      <c r="N6">
        <v>-0.434</v>
      </c>
      <c r="O6">
        <v>-0.449546</v>
      </c>
      <c r="P6">
        <v>-1.558561E-2</v>
      </c>
      <c r="Q6">
        <v>6.6864999999999994E-2</v>
      </c>
      <c r="R6">
        <v>6.5973000000000004E-2</v>
      </c>
      <c r="S6">
        <v>-1.3339876000000001E-2</v>
      </c>
      <c r="T6">
        <v>3.59148517E-2</v>
      </c>
      <c r="U6">
        <v>0.94169416939999995</v>
      </c>
      <c r="V6">
        <v>0</v>
      </c>
      <c r="X6" t="s">
        <v>13</v>
      </c>
      <c r="Y6">
        <v>-4.7699999999999996</v>
      </c>
      <c r="Z6">
        <v>-4.7782720000000003</v>
      </c>
      <c r="AA6">
        <v>-9.6310000000000007E-3</v>
      </c>
      <c r="AB6">
        <v>2.0200000000000001E-3</v>
      </c>
      <c r="AC6">
        <v>0.51422199999999996</v>
      </c>
      <c r="AD6">
        <v>0.52087000000000006</v>
      </c>
      <c r="AE6">
        <v>1.2929E-2</v>
      </c>
      <c r="AF6">
        <v>0.95299999999999996</v>
      </c>
      <c r="AG6">
        <v>0</v>
      </c>
      <c r="AI6" t="s">
        <v>13</v>
      </c>
      <c r="AJ6">
        <v>-4.8</v>
      </c>
      <c r="AK6">
        <v>-4.7543870000000004</v>
      </c>
      <c r="AL6">
        <v>4.4889999999999999E-2</v>
      </c>
      <c r="AM6">
        <v>-9.3500000000000007E-3</v>
      </c>
      <c r="AN6">
        <v>0.56942000000000004</v>
      </c>
      <c r="AO6">
        <v>0.56364499999999995</v>
      </c>
      <c r="AP6">
        <v>-1.014E-2</v>
      </c>
      <c r="AQ6">
        <v>0.94699999999999995</v>
      </c>
      <c r="AR6">
        <v>0</v>
      </c>
      <c r="AS6" s="14"/>
    </row>
    <row r="7" spans="1:47" x14ac:dyDescent="0.25">
      <c r="A7" s="14"/>
      <c r="B7" t="s">
        <v>14</v>
      </c>
      <c r="C7">
        <v>-7.3000000000000001E-3</v>
      </c>
      <c r="D7">
        <v>-9.2339999999999992E-3</v>
      </c>
      <c r="E7">
        <v>-1.9204000000000001E-3</v>
      </c>
      <c r="F7">
        <v>3.5513999999999997E-2</v>
      </c>
      <c r="G7">
        <v>3.9079999999999997E-2</v>
      </c>
      <c r="H7">
        <v>0.1004177369</v>
      </c>
      <c r="I7">
        <v>0.26256603830000003</v>
      </c>
      <c r="J7">
        <v>0.97173913040000004</v>
      </c>
      <c r="K7">
        <v>0</v>
      </c>
      <c r="M7" t="s">
        <v>14</v>
      </c>
      <c r="N7">
        <v>-7.6E-3</v>
      </c>
      <c r="O7">
        <v>-8.482E-3</v>
      </c>
      <c r="P7">
        <v>-8.6443999999999996E-4</v>
      </c>
      <c r="Q7">
        <v>3.5748000000000002E-2</v>
      </c>
      <c r="R7">
        <v>3.9593000000000003E-2</v>
      </c>
      <c r="S7">
        <v>0.1075600437</v>
      </c>
      <c r="T7">
        <v>0.11347323099999999</v>
      </c>
      <c r="U7">
        <v>0.97359735970000005</v>
      </c>
      <c r="V7">
        <v>0</v>
      </c>
      <c r="X7" t="s">
        <v>14</v>
      </c>
      <c r="Y7">
        <v>8.6999999999999993</v>
      </c>
      <c r="Z7">
        <v>8.6950559999999992</v>
      </c>
      <c r="AA7">
        <v>-1.6429999999999999E-3</v>
      </c>
      <c r="AB7">
        <v>-1.8900000000000001E-4</v>
      </c>
      <c r="AC7">
        <v>0.31199700000000002</v>
      </c>
      <c r="AD7">
        <v>0.30591299999999999</v>
      </c>
      <c r="AE7">
        <v>-1.9501000000000001E-2</v>
      </c>
      <c r="AF7">
        <v>0.94499999999999995</v>
      </c>
      <c r="AG7">
        <v>0</v>
      </c>
      <c r="AI7" t="s">
        <v>14</v>
      </c>
      <c r="AJ7">
        <v>8.6999999999999993</v>
      </c>
      <c r="AK7">
        <v>8.6990970000000001</v>
      </c>
      <c r="AL7">
        <v>-3.1099999999999999E-3</v>
      </c>
      <c r="AM7">
        <v>-3.6000000000000002E-4</v>
      </c>
      <c r="AN7">
        <v>0.35533900000000002</v>
      </c>
      <c r="AO7">
        <v>0.34327299999999999</v>
      </c>
      <c r="AP7">
        <v>-3.3959999999999997E-2</v>
      </c>
      <c r="AQ7">
        <v>0.94799999999999995</v>
      </c>
      <c r="AR7">
        <v>0</v>
      </c>
      <c r="AS7" s="14"/>
      <c r="AU7" t="s">
        <v>101</v>
      </c>
    </row>
    <row r="8" spans="1:47" x14ac:dyDescent="0.25">
      <c r="A8" s="14"/>
      <c r="B8" t="s">
        <v>15</v>
      </c>
      <c r="C8">
        <v>-0.45419999999999999</v>
      </c>
      <c r="D8">
        <v>-0.45157999999999998</v>
      </c>
      <c r="E8">
        <v>2.6075820999999998E-3</v>
      </c>
      <c r="F8">
        <v>4.3076999999999997E-2</v>
      </c>
      <c r="G8">
        <v>4.1778000000000003E-2</v>
      </c>
      <c r="H8">
        <v>-3.0155168E-2</v>
      </c>
      <c r="I8">
        <v>-5.7411950000000002E-3</v>
      </c>
      <c r="J8">
        <v>0.93586956519999998</v>
      </c>
      <c r="K8">
        <v>0</v>
      </c>
      <c r="M8" t="s">
        <v>15</v>
      </c>
      <c r="N8">
        <v>-0.4551</v>
      </c>
      <c r="O8">
        <v>-0.45529799999999998</v>
      </c>
      <c r="P8">
        <v>-1.6570300000000001E-4</v>
      </c>
      <c r="Q8">
        <v>4.3345000000000002E-2</v>
      </c>
      <c r="R8">
        <v>4.2438999999999998E-2</v>
      </c>
      <c r="S8">
        <v>-2.0896076E-2</v>
      </c>
      <c r="T8">
        <v>3.640761E-4</v>
      </c>
      <c r="U8">
        <v>0.93289328930000004</v>
      </c>
      <c r="V8">
        <v>0</v>
      </c>
      <c r="X8" t="s">
        <v>15</v>
      </c>
      <c r="Y8">
        <v>-1.61</v>
      </c>
      <c r="Z8">
        <v>-1.6152</v>
      </c>
      <c r="AA8">
        <v>-4.9049999999999996E-3</v>
      </c>
      <c r="AB8">
        <v>3.0460000000000001E-3</v>
      </c>
      <c r="AC8">
        <v>0.32855099999999998</v>
      </c>
      <c r="AD8">
        <v>0.32967099999999999</v>
      </c>
      <c r="AE8">
        <v>3.4090000000000001E-3</v>
      </c>
      <c r="AF8">
        <v>0.95</v>
      </c>
      <c r="AG8">
        <v>0</v>
      </c>
      <c r="AI8" t="s">
        <v>15</v>
      </c>
      <c r="AJ8">
        <v>-1.58</v>
      </c>
      <c r="AK8">
        <v>-1.7393860000000001</v>
      </c>
      <c r="AL8">
        <v>-0.15876000000000001</v>
      </c>
      <c r="AM8">
        <v>0.10044</v>
      </c>
      <c r="AN8">
        <v>0.34718500000000002</v>
      </c>
      <c r="AO8">
        <v>0.34879900000000003</v>
      </c>
      <c r="AP8">
        <v>4.6499999999999996E-3</v>
      </c>
      <c r="AQ8">
        <v>0.93</v>
      </c>
      <c r="AR8">
        <v>0</v>
      </c>
      <c r="AS8" s="14"/>
      <c r="AU8" t="s">
        <v>102</v>
      </c>
    </row>
    <row r="9" spans="1:47" x14ac:dyDescent="0.25">
      <c r="A9" s="14"/>
      <c r="B9" t="s">
        <v>16</v>
      </c>
      <c r="C9">
        <v>-8.2500000000000004E-2</v>
      </c>
      <c r="D9">
        <v>-8.6255999999999999E-2</v>
      </c>
      <c r="E9">
        <v>-3.7133729999999998E-3</v>
      </c>
      <c r="F9">
        <v>4.7724000000000003E-2</v>
      </c>
      <c r="G9">
        <v>4.9431000000000003E-2</v>
      </c>
      <c r="H9">
        <v>3.5775095E-2</v>
      </c>
      <c r="I9">
        <v>4.4987453500000003E-2</v>
      </c>
      <c r="J9">
        <v>0.95652173910000005</v>
      </c>
      <c r="K9">
        <v>0</v>
      </c>
      <c r="M9" t="s">
        <v>16</v>
      </c>
      <c r="N9">
        <v>-8.0399999999999999E-2</v>
      </c>
      <c r="O9">
        <v>-8.1757999999999997E-2</v>
      </c>
      <c r="P9">
        <v>-1.3518180000000001E-3</v>
      </c>
      <c r="Q9">
        <v>4.7910000000000001E-2</v>
      </c>
      <c r="R9">
        <v>5.0088000000000001E-2</v>
      </c>
      <c r="S9">
        <v>4.5459426999999997E-2</v>
      </c>
      <c r="T9">
        <v>1.6812286100000001E-2</v>
      </c>
      <c r="U9">
        <v>0.95379537950000004</v>
      </c>
      <c r="V9">
        <v>0</v>
      </c>
      <c r="X9" t="s">
        <v>16</v>
      </c>
      <c r="Y9">
        <v>-7.92</v>
      </c>
      <c r="Z9">
        <v>-7.9295109999999998</v>
      </c>
      <c r="AA9">
        <v>-1.4336E-2</v>
      </c>
      <c r="AB9">
        <v>1.8109999999999999E-3</v>
      </c>
      <c r="AC9">
        <v>0.36976300000000001</v>
      </c>
      <c r="AD9">
        <v>0.37966299999999997</v>
      </c>
      <c r="AE9">
        <v>2.6775E-2</v>
      </c>
      <c r="AF9">
        <v>0.95499999999999996</v>
      </c>
      <c r="AG9">
        <v>0</v>
      </c>
      <c r="AI9" t="s">
        <v>16</v>
      </c>
      <c r="AJ9">
        <v>-7.78</v>
      </c>
      <c r="AK9">
        <v>-7.8230230000000001</v>
      </c>
      <c r="AL9">
        <v>-4.6589999999999999E-2</v>
      </c>
      <c r="AM9">
        <v>5.9899999999999997E-3</v>
      </c>
      <c r="AN9">
        <v>0.41845900000000003</v>
      </c>
      <c r="AO9">
        <v>0.42530499999999999</v>
      </c>
      <c r="AP9">
        <v>1.636E-2</v>
      </c>
      <c r="AQ9">
        <v>0.95</v>
      </c>
      <c r="AR9">
        <v>0</v>
      </c>
      <c r="AS9" s="14"/>
    </row>
    <row r="10" spans="1:47" x14ac:dyDescent="0.25">
      <c r="A10" s="14"/>
      <c r="B10" t="s">
        <v>17</v>
      </c>
      <c r="C10">
        <v>-0.12590000000000001</v>
      </c>
      <c r="D10">
        <v>-0.124474</v>
      </c>
      <c r="E10">
        <v>1.4721261000000001E-3</v>
      </c>
      <c r="F10">
        <v>4.1190000000000003E-3</v>
      </c>
      <c r="G10">
        <v>4.2129999999999997E-3</v>
      </c>
      <c r="H10">
        <v>2.2974295799999999E-2</v>
      </c>
      <c r="I10">
        <v>-1.1688522999999999E-2</v>
      </c>
      <c r="J10">
        <v>0.94456521739999999</v>
      </c>
      <c r="K10">
        <v>0</v>
      </c>
      <c r="M10" t="s">
        <v>17</v>
      </c>
      <c r="N10">
        <v>-0.1255</v>
      </c>
      <c r="O10">
        <v>-0.12399499999999999</v>
      </c>
      <c r="P10">
        <v>1.4701732E-3</v>
      </c>
      <c r="Q10">
        <v>4.1240000000000001E-3</v>
      </c>
      <c r="R10">
        <v>4.2040000000000003E-3</v>
      </c>
      <c r="S10">
        <v>1.9495080299999999E-2</v>
      </c>
      <c r="T10">
        <v>-1.1717819000000001E-2</v>
      </c>
      <c r="U10">
        <v>0.94169416939999995</v>
      </c>
      <c r="V10">
        <v>0</v>
      </c>
      <c r="X10" t="s">
        <v>17</v>
      </c>
      <c r="Y10">
        <v>5.87</v>
      </c>
      <c r="Z10">
        <v>5.8695959999999996</v>
      </c>
      <c r="AA10">
        <v>1.457E-3</v>
      </c>
      <c r="AB10">
        <v>2.4800000000000001E-4</v>
      </c>
      <c r="AC10">
        <v>2.2498000000000001E-2</v>
      </c>
      <c r="AD10">
        <v>2.3293000000000001E-2</v>
      </c>
      <c r="AE10">
        <v>3.5345000000000001E-2</v>
      </c>
      <c r="AF10">
        <v>0.96299999999999997</v>
      </c>
      <c r="AG10">
        <v>0</v>
      </c>
      <c r="AI10" t="s">
        <v>17</v>
      </c>
      <c r="AJ10">
        <v>5.86</v>
      </c>
      <c r="AK10">
        <v>5.8560559999999997</v>
      </c>
      <c r="AL10">
        <v>-8.3499999999999998E-3</v>
      </c>
      <c r="AM10">
        <v>-1.42E-3</v>
      </c>
      <c r="AN10">
        <v>2.0722000000000001E-2</v>
      </c>
      <c r="AO10">
        <v>2.1829999999999999E-2</v>
      </c>
      <c r="AP10">
        <v>5.3460000000000001E-2</v>
      </c>
      <c r="AQ10">
        <v>0.94799999999999995</v>
      </c>
      <c r="AR10">
        <v>0</v>
      </c>
      <c r="AS10" s="14"/>
    </row>
    <row r="11" spans="1:47" x14ac:dyDescent="0.25">
      <c r="A11" s="14"/>
      <c r="B11" t="s">
        <v>18</v>
      </c>
      <c r="C11">
        <v>-6.9999999999999999E-4</v>
      </c>
      <c r="D11">
        <v>-8.2299999999999995E-4</v>
      </c>
      <c r="E11">
        <v>-1.15721E-4</v>
      </c>
      <c r="F11">
        <v>2.0869999999999999E-3</v>
      </c>
      <c r="G11">
        <v>2.1970000000000002E-3</v>
      </c>
      <c r="H11">
        <v>5.24570205E-2</v>
      </c>
      <c r="I11">
        <v>0.16351449500000001</v>
      </c>
      <c r="J11">
        <v>0.95978260869999998</v>
      </c>
      <c r="K11">
        <v>0</v>
      </c>
      <c r="M11" t="s">
        <v>18</v>
      </c>
      <c r="N11">
        <v>-1.1999999999999999E-3</v>
      </c>
      <c r="O11">
        <v>-1.3140000000000001E-3</v>
      </c>
      <c r="P11">
        <v>-1.2212599999999999E-4</v>
      </c>
      <c r="Q11">
        <v>2.0179999999999998E-3</v>
      </c>
      <c r="R11">
        <v>2.163E-3</v>
      </c>
      <c r="S11">
        <v>7.1538031000000002E-2</v>
      </c>
      <c r="T11">
        <v>0.1024231791</v>
      </c>
      <c r="U11">
        <v>0.96919691969999999</v>
      </c>
      <c r="V11">
        <v>0</v>
      </c>
      <c r="X11" t="s">
        <v>18</v>
      </c>
      <c r="Y11">
        <v>0.03</v>
      </c>
      <c r="Z11">
        <v>2.7983000000000001E-2</v>
      </c>
      <c r="AA11">
        <v>-4.3300000000000001E-4</v>
      </c>
      <c r="AB11">
        <v>-1.5239000000000001E-2</v>
      </c>
      <c r="AC11">
        <v>1.6251000000000002E-2</v>
      </c>
      <c r="AD11">
        <v>1.7087000000000001E-2</v>
      </c>
      <c r="AE11">
        <v>5.1465999999999998E-2</v>
      </c>
      <c r="AF11">
        <v>0.95799999999999996</v>
      </c>
      <c r="AG11">
        <v>0</v>
      </c>
      <c r="AI11" t="s">
        <v>18</v>
      </c>
      <c r="AJ11">
        <v>0.03</v>
      </c>
      <c r="AK11">
        <v>4.1244999999999997E-2</v>
      </c>
      <c r="AL11">
        <v>9.1400000000000006E-3</v>
      </c>
      <c r="AM11">
        <v>0.28455000000000003</v>
      </c>
      <c r="AN11">
        <v>1.3598000000000001E-2</v>
      </c>
      <c r="AO11">
        <v>1.5037999999999999E-2</v>
      </c>
      <c r="AP11">
        <v>0.10585</v>
      </c>
      <c r="AQ11">
        <v>0.93400000000000005</v>
      </c>
      <c r="AR11">
        <v>0</v>
      </c>
      <c r="AS11" s="14"/>
    </row>
    <row r="12" spans="1:47" x14ac:dyDescent="0.25">
      <c r="B12" s="2"/>
    </row>
    <row r="13" spans="1:47" ht="14.45" customHeight="1" x14ac:dyDescent="0.25">
      <c r="A13" s="14" t="s">
        <v>68</v>
      </c>
      <c r="B13" s="1" t="s">
        <v>685</v>
      </c>
      <c r="J13" s="12" t="str">
        <f>INDEX('Method Codes'!$B:$B, MATCH(B13, 'Method Codes'!$I:$I,0))</f>
        <v>IND</v>
      </c>
      <c r="K13" s="12" t="str">
        <f>INDEX('Method Codes'!H:H, MATCH(B13, 'Method Codes'!I:I,0))</f>
        <v>2S</v>
      </c>
      <c r="M13" s="1" t="s">
        <v>686</v>
      </c>
      <c r="U13" s="12" t="str">
        <f>INDEX('Method Codes'!$B:$B, MATCH(M13, 'Method Codes'!$I:$I,0))</f>
        <v>EXCH</v>
      </c>
      <c r="V13" s="12" t="str">
        <f>INDEX('Method Codes'!$H:$H, MATCH(M13, 'Method Codes'!$I:$I,0))</f>
        <v>2S</v>
      </c>
      <c r="X13" s="1" t="s">
        <v>687</v>
      </c>
      <c r="AI13" s="1" t="s">
        <v>688</v>
      </c>
      <c r="AS13" s="14" t="s">
        <v>68</v>
      </c>
      <c r="AU13">
        <v>2</v>
      </c>
    </row>
    <row r="14" spans="1:47" x14ac:dyDescent="0.25">
      <c r="A14" s="14"/>
      <c r="B14" t="s">
        <v>2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10</v>
      </c>
      <c r="K14" t="s">
        <v>11</v>
      </c>
      <c r="M14" t="s">
        <v>2</v>
      </c>
      <c r="N14" t="s">
        <v>3</v>
      </c>
      <c r="O14" t="s">
        <v>4</v>
      </c>
      <c r="P14" t="s">
        <v>5</v>
      </c>
      <c r="Q14" t="s">
        <v>6</v>
      </c>
      <c r="R14" t="s">
        <v>7</v>
      </c>
      <c r="S14" t="s">
        <v>8</v>
      </c>
      <c r="T14" t="s">
        <v>9</v>
      </c>
      <c r="U14" t="s">
        <v>10</v>
      </c>
      <c r="V14" t="s">
        <v>11</v>
      </c>
      <c r="X14" t="s">
        <v>2</v>
      </c>
      <c r="Y14" t="s">
        <v>3</v>
      </c>
      <c r="Z14" t="s">
        <v>4</v>
      </c>
      <c r="AA14" t="s">
        <v>5</v>
      </c>
      <c r="AB14" t="s">
        <v>6</v>
      </c>
      <c r="AC14" t="s">
        <v>7</v>
      </c>
      <c r="AD14" t="s">
        <v>8</v>
      </c>
      <c r="AE14" t="s">
        <v>9</v>
      </c>
      <c r="AF14" t="s">
        <v>10</v>
      </c>
      <c r="AG14" t="s">
        <v>11</v>
      </c>
      <c r="AI14" t="s">
        <v>2</v>
      </c>
      <c r="AJ14" t="s">
        <v>3</v>
      </c>
      <c r="AK14" t="s">
        <v>4</v>
      </c>
      <c r="AL14" t="s">
        <v>5</v>
      </c>
      <c r="AM14" t="s">
        <v>6</v>
      </c>
      <c r="AN14" t="s">
        <v>7</v>
      </c>
      <c r="AO14" t="s">
        <v>8</v>
      </c>
      <c r="AP14" t="s">
        <v>9</v>
      </c>
      <c r="AQ14" t="s">
        <v>10</v>
      </c>
      <c r="AR14" t="s">
        <v>11</v>
      </c>
      <c r="AS14" s="14"/>
    </row>
    <row r="15" spans="1:47" x14ac:dyDescent="0.25">
      <c r="A15" s="14"/>
      <c r="B15" t="s">
        <v>12</v>
      </c>
      <c r="C15" cm="1">
        <f t="array" ref="C15:K21">_xlfn.LET(
_xlpm.keyA, J13,
_xlpm.keyB, K13,
_xlpm.rowKeys, B15:B21,
_xlpm.colKeys, C14:K14,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15">
        <v>2.993468</v>
      </c>
      <c r="E15">
        <v>-0.141923516</v>
      </c>
      <c r="F15">
        <v>0.17937600000000001</v>
      </c>
      <c r="G15">
        <v>0.17082600000000001</v>
      </c>
      <c r="H15">
        <v>-4.7667073999999997E-2</v>
      </c>
      <c r="I15">
        <v>-4.5265013E-2</v>
      </c>
      <c r="J15">
        <v>0.84891304349999996</v>
      </c>
      <c r="K15">
        <v>1</v>
      </c>
      <c r="M15" t="s">
        <v>12</v>
      </c>
      <c r="N15" cm="1">
        <f t="array" ref="N15:V21">_xlfn.LET(
_xlpm.keyA, U13,
_xlpm.keyB, V13,
_xlpm.rowKeys, M15:M21,
_xlpm.colKeys, N14:V14,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15">
        <v>3.0128200000000001</v>
      </c>
      <c r="P15">
        <v>-0.141068579</v>
      </c>
      <c r="Q15">
        <v>0.175071</v>
      </c>
      <c r="R15">
        <v>0.16764399999999999</v>
      </c>
      <c r="S15">
        <v>-4.2422565000000002E-2</v>
      </c>
      <c r="T15">
        <v>-4.4728466000000001E-2</v>
      </c>
      <c r="U15">
        <v>0.85870755750000005</v>
      </c>
      <c r="V15">
        <v>1</v>
      </c>
      <c r="X15" t="s">
        <v>12</v>
      </c>
      <c r="Y15">
        <v>107.08</v>
      </c>
      <c r="Z15">
        <v>109.9644</v>
      </c>
      <c r="AA15">
        <v>2.887</v>
      </c>
      <c r="AB15">
        <v>2.6960000000000001E-2</v>
      </c>
      <c r="AC15">
        <v>1.5004999999999999</v>
      </c>
      <c r="AD15">
        <v>1.4965999999999999</v>
      </c>
      <c r="AE15">
        <v>-2.5530000000000001E-3</v>
      </c>
      <c r="AF15">
        <v>0.51500000000000001</v>
      </c>
      <c r="AG15">
        <v>1</v>
      </c>
      <c r="AI15" t="s">
        <v>12</v>
      </c>
      <c r="AJ15">
        <v>106.81</v>
      </c>
      <c r="AK15">
        <v>111.0097</v>
      </c>
      <c r="AL15">
        <v>4.1972500000000004</v>
      </c>
      <c r="AM15">
        <v>3.9300000000000002E-2</v>
      </c>
      <c r="AN15">
        <v>1.4167000000000001</v>
      </c>
      <c r="AO15">
        <v>1.4091</v>
      </c>
      <c r="AP15">
        <v>-5.398E-3</v>
      </c>
      <c r="AQ15">
        <v>0.152</v>
      </c>
      <c r="AR15">
        <v>1</v>
      </c>
      <c r="AS15" s="14"/>
      <c r="AU15" t="s">
        <v>100</v>
      </c>
    </row>
    <row r="16" spans="1:47" x14ac:dyDescent="0.25">
      <c r="A16" s="14"/>
      <c r="B16" t="s">
        <v>13</v>
      </c>
      <c r="C16">
        <v>-0.44119999999999998</v>
      </c>
      <c r="D16">
        <v>-0.45272200000000001</v>
      </c>
      <c r="E16">
        <v>-1.1515312999999999E-2</v>
      </c>
      <c r="F16">
        <v>6.8720000000000003E-2</v>
      </c>
      <c r="G16">
        <v>6.5171000000000007E-2</v>
      </c>
      <c r="H16">
        <v>-5.1641865000000002E-2</v>
      </c>
      <c r="I16">
        <v>2.6099613099999999E-2</v>
      </c>
      <c r="J16">
        <v>0.93369565219999995</v>
      </c>
      <c r="K16">
        <v>1</v>
      </c>
      <c r="M16" t="s">
        <v>13</v>
      </c>
      <c r="N16">
        <v>-0.434</v>
      </c>
      <c r="O16">
        <v>-0.44274200000000002</v>
      </c>
      <c r="P16">
        <v>-8.7815359999999995E-3</v>
      </c>
      <c r="Q16">
        <v>6.8032999999999996E-2</v>
      </c>
      <c r="R16">
        <v>6.4446000000000003E-2</v>
      </c>
      <c r="S16">
        <v>-5.2722072000000002E-2</v>
      </c>
      <c r="T16">
        <v>2.0235818700000002E-2</v>
      </c>
      <c r="U16">
        <v>0.93756845560000002</v>
      </c>
      <c r="V16">
        <v>1</v>
      </c>
      <c r="X16" t="s">
        <v>13</v>
      </c>
      <c r="Y16">
        <v>-4.7699999999999996</v>
      </c>
      <c r="Z16">
        <v>-4.8292999999999999</v>
      </c>
      <c r="AA16">
        <v>-6.0679999999999998E-2</v>
      </c>
      <c r="AB16">
        <v>1.272E-2</v>
      </c>
      <c r="AC16">
        <v>0.55569999999999997</v>
      </c>
      <c r="AD16">
        <v>0.56000000000000005</v>
      </c>
      <c r="AE16">
        <v>7.8810000000000009E-3</v>
      </c>
      <c r="AF16">
        <v>0.94499999999999995</v>
      </c>
      <c r="AG16">
        <v>1</v>
      </c>
      <c r="AI16" t="s">
        <v>13</v>
      </c>
      <c r="AJ16">
        <v>-4.8</v>
      </c>
      <c r="AK16">
        <v>-4.7667999999999999</v>
      </c>
      <c r="AL16">
        <v>3.245E-2</v>
      </c>
      <c r="AM16">
        <v>-6.7600000000000004E-3</v>
      </c>
      <c r="AN16">
        <v>0.5706</v>
      </c>
      <c r="AO16">
        <v>0.56200000000000006</v>
      </c>
      <c r="AP16">
        <v>-1.5014E-2</v>
      </c>
      <c r="AQ16">
        <v>0.94799999999999995</v>
      </c>
      <c r="AR16">
        <v>1</v>
      </c>
      <c r="AS16" s="14"/>
    </row>
    <row r="17" spans="1:47" x14ac:dyDescent="0.25">
      <c r="A17" s="14"/>
      <c r="B17" t="s">
        <v>14</v>
      </c>
      <c r="C17">
        <v>-7.3000000000000001E-3</v>
      </c>
      <c r="D17">
        <v>-1.6800000000000001E-3</v>
      </c>
      <c r="E17">
        <v>5.6336870000000001E-3</v>
      </c>
      <c r="F17">
        <v>3.8875E-2</v>
      </c>
      <c r="G17">
        <v>3.9720999999999999E-2</v>
      </c>
      <c r="H17">
        <v>2.17732177E-2</v>
      </c>
      <c r="I17">
        <v>-0.77026399800000001</v>
      </c>
      <c r="J17">
        <v>0.9532608696</v>
      </c>
      <c r="K17">
        <v>4.5652173900000002E-2</v>
      </c>
      <c r="M17" t="s">
        <v>14</v>
      </c>
      <c r="N17">
        <v>-7.6E-3</v>
      </c>
      <c r="O17">
        <v>-7.1699999999999997E-4</v>
      </c>
      <c r="P17">
        <v>6.9009192000000002E-3</v>
      </c>
      <c r="Q17">
        <v>3.8567999999999998E-2</v>
      </c>
      <c r="R17">
        <v>3.9441999999999998E-2</v>
      </c>
      <c r="S17">
        <v>2.2677401100000001E-2</v>
      </c>
      <c r="T17">
        <v>-0.90586889000000004</v>
      </c>
      <c r="U17">
        <v>0.94852135820000005</v>
      </c>
      <c r="V17">
        <v>4.8192771099999997E-2</v>
      </c>
      <c r="X17" t="s">
        <v>14</v>
      </c>
      <c r="Y17">
        <v>8.6999999999999993</v>
      </c>
      <c r="Z17">
        <v>6.6326999999999998</v>
      </c>
      <c r="AA17">
        <v>-2.0640499999999999</v>
      </c>
      <c r="AB17">
        <v>-0.23734</v>
      </c>
      <c r="AC17">
        <v>0.33860000000000001</v>
      </c>
      <c r="AD17">
        <v>0.33489999999999998</v>
      </c>
      <c r="AE17">
        <v>-1.0756E-2</v>
      </c>
      <c r="AF17">
        <v>0</v>
      </c>
      <c r="AG17">
        <v>1</v>
      </c>
      <c r="AI17" t="s">
        <v>14</v>
      </c>
      <c r="AJ17">
        <v>8.6999999999999993</v>
      </c>
      <c r="AK17">
        <v>6.0674999999999999</v>
      </c>
      <c r="AL17">
        <v>-2.6347399999999999</v>
      </c>
      <c r="AM17">
        <v>-0.30276999999999998</v>
      </c>
      <c r="AN17">
        <v>0.36530000000000001</v>
      </c>
      <c r="AO17">
        <v>0.35089999999999999</v>
      </c>
      <c r="AP17">
        <v>-3.9189000000000002E-2</v>
      </c>
      <c r="AQ17">
        <v>0</v>
      </c>
      <c r="AR17">
        <v>1</v>
      </c>
      <c r="AS17" s="14"/>
    </row>
    <row r="18" spans="1:47" x14ac:dyDescent="0.25">
      <c r="A18" s="14"/>
      <c r="B18" t="s">
        <v>15</v>
      </c>
      <c r="C18">
        <v>-0.45419999999999999</v>
      </c>
      <c r="D18">
        <v>-0.41762500000000002</v>
      </c>
      <c r="E18">
        <v>3.6562562899999998E-2</v>
      </c>
      <c r="F18">
        <v>4.2757000000000003E-2</v>
      </c>
      <c r="G18">
        <v>4.0905999999999998E-2</v>
      </c>
      <c r="H18">
        <v>-4.3282585999999998E-2</v>
      </c>
      <c r="I18">
        <v>-8.0500934999999996E-2</v>
      </c>
      <c r="J18">
        <v>0.8434782609</v>
      </c>
      <c r="K18">
        <v>1</v>
      </c>
      <c r="M18" t="s">
        <v>15</v>
      </c>
      <c r="N18">
        <v>-0.4551</v>
      </c>
      <c r="O18">
        <v>-0.41951100000000002</v>
      </c>
      <c r="P18">
        <v>3.5620447700000002E-2</v>
      </c>
      <c r="Q18">
        <v>4.2091000000000003E-2</v>
      </c>
      <c r="R18">
        <v>4.0503999999999998E-2</v>
      </c>
      <c r="S18">
        <v>-3.7703161999999998E-2</v>
      </c>
      <c r="T18">
        <v>-7.8264011999999994E-2</v>
      </c>
      <c r="U18">
        <v>0.84775465500000002</v>
      </c>
      <c r="V18">
        <v>1</v>
      </c>
      <c r="X18" t="s">
        <v>15</v>
      </c>
      <c r="Y18">
        <v>-1.61</v>
      </c>
      <c r="Z18">
        <v>-2.1318000000000001</v>
      </c>
      <c r="AA18">
        <v>-0.52149000000000001</v>
      </c>
      <c r="AB18">
        <v>0.32385000000000003</v>
      </c>
      <c r="AC18">
        <v>0.35389999999999999</v>
      </c>
      <c r="AD18">
        <v>0.36059999999999998</v>
      </c>
      <c r="AE18">
        <v>1.8873000000000001E-2</v>
      </c>
      <c r="AF18">
        <v>0.71399999999999997</v>
      </c>
      <c r="AG18">
        <v>1</v>
      </c>
      <c r="AI18" t="s">
        <v>15</v>
      </c>
      <c r="AJ18">
        <v>-1.58</v>
      </c>
      <c r="AK18">
        <v>-2.4339</v>
      </c>
      <c r="AL18">
        <v>-0.85328000000000004</v>
      </c>
      <c r="AM18">
        <v>0.53983999999999999</v>
      </c>
      <c r="AN18">
        <v>0.34599999999999997</v>
      </c>
      <c r="AO18">
        <v>0.3503</v>
      </c>
      <c r="AP18">
        <v>1.2655E-2</v>
      </c>
      <c r="AQ18">
        <v>0.31</v>
      </c>
      <c r="AR18">
        <v>1</v>
      </c>
      <c r="AS18" s="14"/>
    </row>
    <row r="19" spans="1:47" x14ac:dyDescent="0.25">
      <c r="A19" s="14"/>
      <c r="B19" t="s">
        <v>16</v>
      </c>
      <c r="C19">
        <v>-8.2500000000000004E-2</v>
      </c>
      <c r="D19">
        <v>-0.109264</v>
      </c>
      <c r="E19">
        <v>-2.6721708E-2</v>
      </c>
      <c r="F19">
        <v>5.0859000000000001E-2</v>
      </c>
      <c r="G19">
        <v>5.0224999999999999E-2</v>
      </c>
      <c r="H19">
        <v>-1.2477903E-2</v>
      </c>
      <c r="I19">
        <v>0.3237330584</v>
      </c>
      <c r="J19">
        <v>0.91956521739999997</v>
      </c>
      <c r="K19">
        <v>0.59130434779999996</v>
      </c>
      <c r="M19" t="s">
        <v>16</v>
      </c>
      <c r="N19">
        <v>-8.0399999999999999E-2</v>
      </c>
      <c r="O19">
        <v>-0.10891000000000001</v>
      </c>
      <c r="P19">
        <v>-2.8503257000000001E-2</v>
      </c>
      <c r="Q19">
        <v>5.0257999999999997E-2</v>
      </c>
      <c r="R19">
        <v>4.9693000000000001E-2</v>
      </c>
      <c r="S19">
        <v>-1.1233274E-2</v>
      </c>
      <c r="T19">
        <v>0.35448931680000001</v>
      </c>
      <c r="U19">
        <v>0.90470974810000004</v>
      </c>
      <c r="V19">
        <v>0.61117196060000001</v>
      </c>
      <c r="X19" t="s">
        <v>16</v>
      </c>
      <c r="Y19">
        <v>-7.92</v>
      </c>
      <c r="Z19">
        <v>-6.0830000000000002</v>
      </c>
      <c r="AA19">
        <v>1.83213</v>
      </c>
      <c r="AB19">
        <v>-0.23147000000000001</v>
      </c>
      <c r="AC19">
        <v>0.40889999999999999</v>
      </c>
      <c r="AD19">
        <v>0.41909999999999997</v>
      </c>
      <c r="AE19">
        <v>2.4996999999999998E-2</v>
      </c>
      <c r="AF19">
        <v>0.01</v>
      </c>
      <c r="AG19">
        <v>1</v>
      </c>
      <c r="AI19" t="s">
        <v>16</v>
      </c>
      <c r="AJ19">
        <v>-7.78</v>
      </c>
      <c r="AK19">
        <v>-5.5366999999999997</v>
      </c>
      <c r="AL19">
        <v>2.23976</v>
      </c>
      <c r="AM19">
        <v>-0.28802</v>
      </c>
      <c r="AN19">
        <v>0.43690000000000001</v>
      </c>
      <c r="AO19">
        <v>0.43540000000000001</v>
      </c>
      <c r="AP19">
        <v>-3.5959999999999998E-3</v>
      </c>
      <c r="AQ19">
        <v>1E-3</v>
      </c>
      <c r="AR19">
        <v>1</v>
      </c>
      <c r="AS19" s="14"/>
    </row>
    <row r="20" spans="1:47" x14ac:dyDescent="0.25">
      <c r="A20" s="14"/>
      <c r="B20" t="s">
        <v>17</v>
      </c>
      <c r="C20">
        <v>-0.12590000000000001</v>
      </c>
      <c r="D20">
        <v>-0.12017899999999999</v>
      </c>
      <c r="E20">
        <v>5.7669892000000002E-3</v>
      </c>
      <c r="F20">
        <v>4.2079999999999999E-3</v>
      </c>
      <c r="G20">
        <v>4.2209999999999999E-3</v>
      </c>
      <c r="H20">
        <v>2.9338131E-3</v>
      </c>
      <c r="I20">
        <v>-4.5789274999999997E-2</v>
      </c>
      <c r="J20">
        <v>0.70978260869999998</v>
      </c>
      <c r="K20">
        <v>1</v>
      </c>
      <c r="M20" t="s">
        <v>17</v>
      </c>
      <c r="N20">
        <v>-0.1255</v>
      </c>
      <c r="O20">
        <v>-0.12052599999999999</v>
      </c>
      <c r="P20">
        <v>4.93868E-3</v>
      </c>
      <c r="Q20">
        <v>4.1320000000000003E-3</v>
      </c>
      <c r="R20">
        <v>4.1700000000000001E-3</v>
      </c>
      <c r="S20">
        <v>9.0829155000000002E-3</v>
      </c>
      <c r="T20">
        <v>-3.9363086999999998E-2</v>
      </c>
      <c r="U20">
        <v>0.76779846659999995</v>
      </c>
      <c r="V20">
        <v>1</v>
      </c>
      <c r="X20" t="s">
        <v>17</v>
      </c>
      <c r="Y20">
        <v>5.87</v>
      </c>
      <c r="Z20">
        <v>5.9656000000000002</v>
      </c>
      <c r="AA20">
        <v>9.7500000000000003E-2</v>
      </c>
      <c r="AB20">
        <v>1.661E-2</v>
      </c>
      <c r="AC20">
        <v>2.86E-2</v>
      </c>
      <c r="AD20">
        <v>2.9700000000000001E-2</v>
      </c>
      <c r="AE20">
        <v>3.9216000000000001E-2</v>
      </c>
      <c r="AF20">
        <v>8.4000000000000005E-2</v>
      </c>
      <c r="AG20">
        <v>1</v>
      </c>
      <c r="AI20" t="s">
        <v>17</v>
      </c>
      <c r="AJ20">
        <v>5.86</v>
      </c>
      <c r="AK20">
        <v>5.9269999999999996</v>
      </c>
      <c r="AL20">
        <v>6.2549999999999994E-2</v>
      </c>
      <c r="AM20">
        <v>1.0670000000000001E-2</v>
      </c>
      <c r="AN20">
        <v>2.5399999999999999E-2</v>
      </c>
      <c r="AO20">
        <v>2.6499999999999999E-2</v>
      </c>
      <c r="AP20">
        <v>4.2535999999999997E-2</v>
      </c>
      <c r="AQ20">
        <v>0.34</v>
      </c>
      <c r="AR20">
        <v>1</v>
      </c>
      <c r="AS20" s="14"/>
    </row>
    <row r="21" spans="1:47" x14ac:dyDescent="0.25">
      <c r="A21" s="14"/>
      <c r="B21" t="s">
        <v>18</v>
      </c>
      <c r="C21">
        <v>-6.9999999999999999E-4</v>
      </c>
      <c r="D21">
        <v>-1.1169999999999999E-3</v>
      </c>
      <c r="E21">
        <v>-4.09243E-4</v>
      </c>
      <c r="F21">
        <v>2.251E-3</v>
      </c>
      <c r="G21">
        <v>2.2049999999999999E-3</v>
      </c>
      <c r="H21">
        <v>-2.0472247999999998E-2</v>
      </c>
      <c r="I21">
        <v>0.5782627199</v>
      </c>
      <c r="J21">
        <v>0.93369565219999995</v>
      </c>
      <c r="K21">
        <v>8.8043478300000005E-2</v>
      </c>
      <c r="M21" t="s">
        <v>18</v>
      </c>
      <c r="N21">
        <v>-1.1999999999999999E-3</v>
      </c>
      <c r="O21">
        <v>-1.5820000000000001E-3</v>
      </c>
      <c r="P21">
        <v>-3.89391E-4</v>
      </c>
      <c r="Q21">
        <v>2.1480000000000002E-3</v>
      </c>
      <c r="R21">
        <v>2.1299999999999999E-3</v>
      </c>
      <c r="S21">
        <v>-8.389044E-3</v>
      </c>
      <c r="T21">
        <v>0.32657031819999999</v>
      </c>
      <c r="U21">
        <v>0.94304490689999998</v>
      </c>
      <c r="V21">
        <v>0.11062431540000001</v>
      </c>
      <c r="X21" t="s">
        <v>18</v>
      </c>
      <c r="Y21">
        <v>0.03</v>
      </c>
      <c r="Z21">
        <v>2.7E-2</v>
      </c>
      <c r="AA21">
        <v>-1.3699999999999999E-3</v>
      </c>
      <c r="AB21">
        <v>-4.836E-2</v>
      </c>
      <c r="AC21">
        <v>1.8599999999999998E-2</v>
      </c>
      <c r="AD21">
        <v>1.8200000000000001E-2</v>
      </c>
      <c r="AE21">
        <v>-2.0528999999999999E-2</v>
      </c>
      <c r="AF21">
        <v>0.94</v>
      </c>
      <c r="AG21">
        <v>0.32300000000000001</v>
      </c>
      <c r="AI21" t="s">
        <v>18</v>
      </c>
      <c r="AJ21">
        <v>0.03</v>
      </c>
      <c r="AK21">
        <v>4.0500000000000001E-2</v>
      </c>
      <c r="AL21">
        <v>8.3700000000000007E-3</v>
      </c>
      <c r="AM21">
        <v>0.26069999999999999</v>
      </c>
      <c r="AN21">
        <v>1.5599999999999999E-2</v>
      </c>
      <c r="AO21">
        <v>1.55E-2</v>
      </c>
      <c r="AP21">
        <v>-4.9670000000000001E-3</v>
      </c>
      <c r="AQ21">
        <v>0.91300000000000003</v>
      </c>
      <c r="AR21">
        <v>0.73599999999999999</v>
      </c>
      <c r="AS21" s="14"/>
    </row>
    <row r="22" spans="1:47" x14ac:dyDescent="0.25">
      <c r="B22" s="2"/>
      <c r="AU22" t="s">
        <v>103</v>
      </c>
    </row>
    <row r="23" spans="1:47" ht="14.45" hidden="1" customHeight="1" x14ac:dyDescent="0.25">
      <c r="A23" s="13" t="s">
        <v>69</v>
      </c>
      <c r="B23" s="1" t="s">
        <v>689</v>
      </c>
      <c r="M23" s="1" t="s">
        <v>690</v>
      </c>
      <c r="X23" s="1" t="s">
        <v>691</v>
      </c>
      <c r="AI23" s="1" t="s">
        <v>692</v>
      </c>
      <c r="AS23" s="13" t="s">
        <v>69</v>
      </c>
    </row>
    <row r="24" spans="1:47" ht="14.45" hidden="1" customHeight="1" x14ac:dyDescent="0.25">
      <c r="A24" s="14"/>
      <c r="B24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M24" t="s">
        <v>2</v>
      </c>
      <c r="N24" t="s">
        <v>3</v>
      </c>
      <c r="O24" t="s">
        <v>4</v>
      </c>
      <c r="P24" t="s">
        <v>5</v>
      </c>
      <c r="Q24" t="s">
        <v>6</v>
      </c>
      <c r="R24" t="s">
        <v>7</v>
      </c>
      <c r="S24" t="s">
        <v>8</v>
      </c>
      <c r="T24" t="s">
        <v>9</v>
      </c>
      <c r="U24" t="s">
        <v>10</v>
      </c>
      <c r="V24" t="s">
        <v>11</v>
      </c>
      <c r="X24" t="s">
        <v>2</v>
      </c>
      <c r="Y24" t="s">
        <v>3</v>
      </c>
      <c r="Z24" t="s">
        <v>4</v>
      </c>
      <c r="AA24" t="s">
        <v>5</v>
      </c>
      <c r="AB24" t="s">
        <v>6</v>
      </c>
      <c r="AC24" t="s">
        <v>7</v>
      </c>
      <c r="AD24" t="s">
        <v>8</v>
      </c>
      <c r="AE24" t="s">
        <v>9</v>
      </c>
      <c r="AF24" t="s">
        <v>10</v>
      </c>
      <c r="AG24" t="s">
        <v>11</v>
      </c>
      <c r="AI24" t="s">
        <v>2</v>
      </c>
      <c r="AJ24" t="s">
        <v>3</v>
      </c>
      <c r="AK24" t="s">
        <v>4</v>
      </c>
      <c r="AL24" t="s">
        <v>5</v>
      </c>
      <c r="AM24" t="s">
        <v>6</v>
      </c>
      <c r="AN24" t="s">
        <v>7</v>
      </c>
      <c r="AO24" t="s">
        <v>8</v>
      </c>
      <c r="AP24" t="s">
        <v>9</v>
      </c>
      <c r="AQ24" t="s">
        <v>10</v>
      </c>
      <c r="AR24" t="s">
        <v>11</v>
      </c>
      <c r="AS24" s="14"/>
    </row>
    <row r="25" spans="1:47" ht="14.45" hidden="1" customHeight="1" x14ac:dyDescent="0.25">
      <c r="A25" s="14"/>
      <c r="B25" t="s">
        <v>12</v>
      </c>
      <c r="C25">
        <v>107.0774</v>
      </c>
      <c r="D25">
        <v>102.957114</v>
      </c>
      <c r="E25">
        <v>-4.1202899999999998</v>
      </c>
      <c r="F25">
        <v>-3.848E-2</v>
      </c>
      <c r="G25">
        <v>2.4558179999999998</v>
      </c>
      <c r="H25">
        <v>2.587164</v>
      </c>
      <c r="I25">
        <v>5.3483999999999997E-2</v>
      </c>
      <c r="J25">
        <v>0.63800000000000001</v>
      </c>
      <c r="K25">
        <v>0</v>
      </c>
      <c r="M25" t="s">
        <v>12</v>
      </c>
      <c r="N25">
        <v>105.9799</v>
      </c>
      <c r="O25">
        <v>102.982364</v>
      </c>
      <c r="P25">
        <v>-2.9975700000000001</v>
      </c>
      <c r="Q25">
        <v>-2.828E-2</v>
      </c>
      <c r="R25">
        <v>2.651135</v>
      </c>
      <c r="S25">
        <v>2.748955</v>
      </c>
      <c r="T25">
        <v>3.6896999999999999E-2</v>
      </c>
      <c r="U25">
        <v>0.63800000000000001</v>
      </c>
      <c r="V25">
        <v>0</v>
      </c>
      <c r="X25" t="s">
        <v>12</v>
      </c>
      <c r="Y25">
        <v>107.08</v>
      </c>
      <c r="Z25">
        <v>102.957114</v>
      </c>
      <c r="AA25">
        <v>-4.1202899999999998</v>
      </c>
      <c r="AB25">
        <v>-3.848E-2</v>
      </c>
      <c r="AC25">
        <v>2.4558179999999998</v>
      </c>
      <c r="AD25">
        <v>2.587164</v>
      </c>
      <c r="AE25">
        <v>5.3483999999999997E-2</v>
      </c>
      <c r="AF25">
        <v>0.63800000000000001</v>
      </c>
      <c r="AG25">
        <v>0</v>
      </c>
      <c r="AI25" t="s">
        <v>12</v>
      </c>
      <c r="AJ25">
        <v>106.81</v>
      </c>
      <c r="AK25">
        <v>102.982364</v>
      </c>
      <c r="AL25">
        <v>-3.8300900000000002</v>
      </c>
      <c r="AM25">
        <v>-3.5860000000000003E-2</v>
      </c>
      <c r="AN25">
        <v>2.651135</v>
      </c>
      <c r="AO25">
        <v>2.748955</v>
      </c>
      <c r="AP25">
        <v>3.6896999999999999E-2</v>
      </c>
      <c r="AQ25">
        <v>0.70299999999999996</v>
      </c>
      <c r="AR25">
        <v>0</v>
      </c>
      <c r="AS25" s="14"/>
    </row>
    <row r="26" spans="1:47" ht="14.45" hidden="1" customHeight="1" x14ac:dyDescent="0.25">
      <c r="A26" s="14"/>
      <c r="B26" t="s">
        <v>13</v>
      </c>
      <c r="C26">
        <v>-4.7686000000000002</v>
      </c>
      <c r="D26">
        <v>-4.2185119999999996</v>
      </c>
      <c r="E26">
        <v>0.55013000000000001</v>
      </c>
      <c r="F26">
        <v>-0.11536</v>
      </c>
      <c r="G26">
        <v>0.98947700000000005</v>
      </c>
      <c r="H26">
        <v>1.023644</v>
      </c>
      <c r="I26">
        <v>3.4530999999999999E-2</v>
      </c>
      <c r="J26">
        <v>0.92900000000000005</v>
      </c>
      <c r="K26">
        <v>0</v>
      </c>
      <c r="M26" t="s">
        <v>13</v>
      </c>
      <c r="N26">
        <v>-5.1665999999999999</v>
      </c>
      <c r="O26">
        <v>-4.1603719999999997</v>
      </c>
      <c r="P26">
        <v>1.0062</v>
      </c>
      <c r="Q26">
        <v>-0.19475000000000001</v>
      </c>
      <c r="R26">
        <v>1.1241620000000001</v>
      </c>
      <c r="S26">
        <v>1.1459509999999999</v>
      </c>
      <c r="T26">
        <v>1.9383000000000001E-2</v>
      </c>
      <c r="U26">
        <v>0.92900000000000005</v>
      </c>
      <c r="V26">
        <v>0</v>
      </c>
      <c r="X26" t="s">
        <v>13</v>
      </c>
      <c r="Y26">
        <v>-4.7699999999999996</v>
      </c>
      <c r="Z26">
        <v>-4.2185119999999996</v>
      </c>
      <c r="AA26">
        <v>0.55013000000000001</v>
      </c>
      <c r="AB26">
        <v>-0.11536</v>
      </c>
      <c r="AC26">
        <v>0.98947700000000005</v>
      </c>
      <c r="AD26">
        <v>1.023644</v>
      </c>
      <c r="AE26">
        <v>3.4530999999999999E-2</v>
      </c>
      <c r="AF26">
        <v>0.92900000000000005</v>
      </c>
      <c r="AG26">
        <v>0</v>
      </c>
      <c r="AI26" t="s">
        <v>13</v>
      </c>
      <c r="AJ26">
        <v>-4.8</v>
      </c>
      <c r="AK26">
        <v>-4.1603719999999997</v>
      </c>
      <c r="AL26">
        <v>0.63890999999999998</v>
      </c>
      <c r="AM26">
        <v>-0.13313</v>
      </c>
      <c r="AN26">
        <v>1.1241620000000001</v>
      </c>
      <c r="AO26">
        <v>1.1459509999999999</v>
      </c>
      <c r="AP26">
        <v>1.9383000000000001E-2</v>
      </c>
      <c r="AQ26">
        <v>0.92</v>
      </c>
      <c r="AR26">
        <v>0</v>
      </c>
      <c r="AS26" s="14"/>
    </row>
    <row r="27" spans="1:47" ht="14.45" hidden="1" customHeight="1" x14ac:dyDescent="0.25">
      <c r="A27" s="14"/>
      <c r="B27" t="s">
        <v>14</v>
      </c>
      <c r="C27">
        <v>8.6966999999999999</v>
      </c>
      <c r="D27">
        <v>8.5479640000000003</v>
      </c>
      <c r="E27">
        <v>-0.14873</v>
      </c>
      <c r="F27">
        <v>-1.7100000000000001E-2</v>
      </c>
      <c r="G27">
        <v>0.56056799999999996</v>
      </c>
      <c r="H27">
        <v>0.56188700000000003</v>
      </c>
      <c r="I27">
        <v>2.3540000000000002E-3</v>
      </c>
      <c r="J27">
        <v>0.94799999999999995</v>
      </c>
      <c r="K27">
        <v>0</v>
      </c>
      <c r="M27" t="s">
        <v>14</v>
      </c>
      <c r="N27">
        <v>8.6967999999999996</v>
      </c>
      <c r="O27">
        <v>8.5778339999999993</v>
      </c>
      <c r="P27">
        <v>-0.11899999999999999</v>
      </c>
      <c r="Q27">
        <v>-1.3679999999999999E-2</v>
      </c>
      <c r="R27">
        <v>0.67766499999999996</v>
      </c>
      <c r="S27">
        <v>0.65704600000000002</v>
      </c>
      <c r="T27">
        <v>-3.0426000000000002E-2</v>
      </c>
      <c r="U27">
        <v>0.94799999999999995</v>
      </c>
      <c r="V27">
        <v>0</v>
      </c>
      <c r="X27" t="s">
        <v>14</v>
      </c>
      <c r="Y27">
        <v>8.6999999999999993</v>
      </c>
      <c r="Z27">
        <v>8.5479640000000003</v>
      </c>
      <c r="AA27">
        <v>-0.14873</v>
      </c>
      <c r="AB27">
        <v>-1.7100000000000001E-2</v>
      </c>
      <c r="AC27">
        <v>0.56056799999999996</v>
      </c>
      <c r="AD27">
        <v>0.56188700000000003</v>
      </c>
      <c r="AE27">
        <v>2.3540000000000002E-3</v>
      </c>
      <c r="AF27">
        <v>0.94799999999999995</v>
      </c>
      <c r="AG27">
        <v>0</v>
      </c>
      <c r="AI27" t="s">
        <v>14</v>
      </c>
      <c r="AJ27">
        <v>8.6999999999999993</v>
      </c>
      <c r="AK27">
        <v>8.5778339999999993</v>
      </c>
      <c r="AL27">
        <v>-0.12436999999999999</v>
      </c>
      <c r="AM27">
        <v>-1.4290000000000001E-2</v>
      </c>
      <c r="AN27">
        <v>0.67766499999999996</v>
      </c>
      <c r="AO27">
        <v>0.65704600000000002</v>
      </c>
      <c r="AP27">
        <v>-3.0426000000000002E-2</v>
      </c>
      <c r="AQ27">
        <v>0.94099999999999995</v>
      </c>
      <c r="AR27">
        <v>0</v>
      </c>
      <c r="AS27" s="14"/>
    </row>
    <row r="28" spans="1:47" ht="14.45" hidden="1" customHeight="1" x14ac:dyDescent="0.25">
      <c r="A28" s="14"/>
      <c r="B28" t="s">
        <v>15</v>
      </c>
      <c r="C28">
        <v>-1.6103000000000001</v>
      </c>
      <c r="D28">
        <v>-1.0456700000000001</v>
      </c>
      <c r="E28">
        <v>0.56462000000000001</v>
      </c>
      <c r="F28">
        <v>-0.35063</v>
      </c>
      <c r="G28">
        <v>0.57125700000000001</v>
      </c>
      <c r="H28">
        <v>0.600298</v>
      </c>
      <c r="I28">
        <v>5.0837E-2</v>
      </c>
      <c r="J28">
        <v>0.85599999999999998</v>
      </c>
      <c r="K28">
        <v>0</v>
      </c>
      <c r="M28" t="s">
        <v>15</v>
      </c>
      <c r="N28">
        <v>-1.5933999999999999</v>
      </c>
      <c r="O28">
        <v>-1.147678</v>
      </c>
      <c r="P28">
        <v>0.44575999999999999</v>
      </c>
      <c r="Q28">
        <v>-0.27975</v>
      </c>
      <c r="R28">
        <v>0.62766500000000003</v>
      </c>
      <c r="S28">
        <v>0.63703600000000005</v>
      </c>
      <c r="T28">
        <v>1.4931E-2</v>
      </c>
      <c r="U28">
        <v>0.85599999999999998</v>
      </c>
      <c r="V28">
        <v>0</v>
      </c>
      <c r="X28" t="s">
        <v>15</v>
      </c>
      <c r="Y28">
        <v>-1.61</v>
      </c>
      <c r="Z28">
        <v>-1.0456700000000001</v>
      </c>
      <c r="AA28">
        <v>0.56462000000000001</v>
      </c>
      <c r="AB28">
        <v>-0.35063</v>
      </c>
      <c r="AC28">
        <v>0.57125700000000001</v>
      </c>
      <c r="AD28">
        <v>0.600298</v>
      </c>
      <c r="AE28">
        <v>5.0837E-2</v>
      </c>
      <c r="AF28">
        <v>0.85599999999999998</v>
      </c>
      <c r="AG28">
        <v>0</v>
      </c>
      <c r="AI28" t="s">
        <v>15</v>
      </c>
      <c r="AJ28">
        <v>-1.58</v>
      </c>
      <c r="AK28">
        <v>-1.147678</v>
      </c>
      <c r="AL28">
        <v>0.43295</v>
      </c>
      <c r="AM28">
        <v>-0.27390999999999999</v>
      </c>
      <c r="AN28">
        <v>0.62766500000000003</v>
      </c>
      <c r="AO28">
        <v>0.63703600000000005</v>
      </c>
      <c r="AP28">
        <v>1.4931E-2</v>
      </c>
      <c r="AQ28">
        <v>0.89300000000000002</v>
      </c>
      <c r="AR28">
        <v>0</v>
      </c>
      <c r="AS28" s="14"/>
    </row>
    <row r="29" spans="1:47" ht="14.45" hidden="1" customHeight="1" x14ac:dyDescent="0.25">
      <c r="A29" s="14"/>
      <c r="B29" t="s">
        <v>16</v>
      </c>
      <c r="C29">
        <v>-7.9151999999999996</v>
      </c>
      <c r="D29">
        <v>-8.206118</v>
      </c>
      <c r="E29">
        <v>-0.29093999999999998</v>
      </c>
      <c r="F29">
        <v>3.6760000000000001E-2</v>
      </c>
      <c r="G29">
        <v>0.78591200000000005</v>
      </c>
      <c r="H29">
        <v>0.77612199999999998</v>
      </c>
      <c r="I29">
        <v>-1.2458E-2</v>
      </c>
      <c r="J29">
        <v>0.92700000000000005</v>
      </c>
      <c r="K29">
        <v>0</v>
      </c>
      <c r="M29" t="s">
        <v>16</v>
      </c>
      <c r="N29">
        <v>-7.9048999999999996</v>
      </c>
      <c r="O29">
        <v>-8.1180570000000003</v>
      </c>
      <c r="P29">
        <v>-0.21315999999999999</v>
      </c>
      <c r="Q29">
        <v>2.6970000000000001E-2</v>
      </c>
      <c r="R29">
        <v>0.94276300000000002</v>
      </c>
      <c r="S29">
        <v>0.90610400000000002</v>
      </c>
      <c r="T29">
        <v>-3.8884000000000002E-2</v>
      </c>
      <c r="U29">
        <v>0.92700000000000005</v>
      </c>
      <c r="V29">
        <v>0</v>
      </c>
      <c r="X29" t="s">
        <v>16</v>
      </c>
      <c r="Y29">
        <v>-7.92</v>
      </c>
      <c r="Z29">
        <v>-8.206118</v>
      </c>
      <c r="AA29">
        <v>-0.29093999999999998</v>
      </c>
      <c r="AB29">
        <v>3.6760000000000001E-2</v>
      </c>
      <c r="AC29">
        <v>0.78591200000000005</v>
      </c>
      <c r="AD29">
        <v>0.77612199999999998</v>
      </c>
      <c r="AE29">
        <v>-1.2458E-2</v>
      </c>
      <c r="AF29">
        <v>0.92700000000000005</v>
      </c>
      <c r="AG29">
        <v>0</v>
      </c>
      <c r="AI29" t="s">
        <v>16</v>
      </c>
      <c r="AJ29">
        <v>-7.78</v>
      </c>
      <c r="AK29">
        <v>-8.1180570000000003</v>
      </c>
      <c r="AL29">
        <v>-0.34162999999999999</v>
      </c>
      <c r="AM29">
        <v>4.3929999999999997E-2</v>
      </c>
      <c r="AN29">
        <v>0.94276300000000002</v>
      </c>
      <c r="AO29">
        <v>0.90610400000000002</v>
      </c>
      <c r="AP29">
        <v>-3.8884000000000002E-2</v>
      </c>
      <c r="AQ29">
        <v>0.91500000000000004</v>
      </c>
      <c r="AR29">
        <v>0</v>
      </c>
      <c r="AS29" s="14"/>
    </row>
    <row r="30" spans="1:47" ht="14.45" hidden="1" customHeight="1" x14ac:dyDescent="0.25">
      <c r="A30" s="14"/>
      <c r="B30" t="s">
        <v>17</v>
      </c>
      <c r="C30">
        <v>5.8681000000000001</v>
      </c>
      <c r="D30">
        <v>6.0480169999999998</v>
      </c>
      <c r="E30">
        <v>0.17988000000000001</v>
      </c>
      <c r="F30">
        <v>3.065E-2</v>
      </c>
      <c r="G30">
        <v>5.6091000000000002E-2</v>
      </c>
      <c r="H30">
        <v>5.7410000000000003E-2</v>
      </c>
      <c r="I30">
        <v>2.3525999999999998E-2</v>
      </c>
      <c r="J30">
        <v>0.13400000000000001</v>
      </c>
      <c r="K30">
        <v>0</v>
      </c>
      <c r="M30" t="s">
        <v>17</v>
      </c>
      <c r="N30">
        <v>5.8287000000000004</v>
      </c>
      <c r="O30">
        <v>6.0347980000000003</v>
      </c>
      <c r="P30">
        <v>0.20613999999999999</v>
      </c>
      <c r="Q30">
        <v>3.5369999999999999E-2</v>
      </c>
      <c r="R30">
        <v>5.8562999999999997E-2</v>
      </c>
      <c r="S30">
        <v>6.123E-2</v>
      </c>
      <c r="T30">
        <v>4.5537000000000001E-2</v>
      </c>
      <c r="U30">
        <v>0.13400000000000001</v>
      </c>
      <c r="V30">
        <v>0</v>
      </c>
      <c r="X30" t="s">
        <v>17</v>
      </c>
      <c r="Y30">
        <v>5.87</v>
      </c>
      <c r="Z30">
        <v>6.0480169999999998</v>
      </c>
      <c r="AA30">
        <v>0.17988000000000001</v>
      </c>
      <c r="AB30">
        <v>3.065E-2</v>
      </c>
      <c r="AC30">
        <v>5.6091000000000002E-2</v>
      </c>
      <c r="AD30">
        <v>5.7410000000000003E-2</v>
      </c>
      <c r="AE30">
        <v>2.3525999999999998E-2</v>
      </c>
      <c r="AF30">
        <v>0.13400000000000001</v>
      </c>
      <c r="AG30">
        <v>0</v>
      </c>
      <c r="AI30" t="s">
        <v>17</v>
      </c>
      <c r="AJ30">
        <v>5.86</v>
      </c>
      <c r="AK30">
        <v>6.0347980000000003</v>
      </c>
      <c r="AL30">
        <v>0.17039000000000001</v>
      </c>
      <c r="AM30">
        <v>2.9049999999999999E-2</v>
      </c>
      <c r="AN30">
        <v>5.8562999999999997E-2</v>
      </c>
      <c r="AO30">
        <v>6.123E-2</v>
      </c>
      <c r="AP30">
        <v>4.5537000000000001E-2</v>
      </c>
      <c r="AQ30">
        <v>0.21</v>
      </c>
      <c r="AR30">
        <v>0</v>
      </c>
      <c r="AS30" s="14"/>
    </row>
    <row r="31" spans="1:47" ht="14.45" hidden="1" customHeight="1" x14ac:dyDescent="0.25">
      <c r="A31" s="14"/>
      <c r="B31" t="s">
        <v>18</v>
      </c>
      <c r="C31">
        <v>2.8400000000000002E-2</v>
      </c>
      <c r="D31">
        <v>1.8426999999999999E-2</v>
      </c>
      <c r="E31">
        <v>-9.9900000000000006E-3</v>
      </c>
      <c r="F31">
        <v>-0.35154000000000002</v>
      </c>
      <c r="G31">
        <v>4.2597999999999997E-2</v>
      </c>
      <c r="H31">
        <v>4.4226000000000001E-2</v>
      </c>
      <c r="I31">
        <v>3.8207999999999999E-2</v>
      </c>
      <c r="J31">
        <v>0.97499999999999998</v>
      </c>
      <c r="K31">
        <v>0</v>
      </c>
      <c r="M31" t="s">
        <v>18</v>
      </c>
      <c r="N31">
        <v>6.8000000000000005E-2</v>
      </c>
      <c r="O31">
        <v>3.0218999999999999E-2</v>
      </c>
      <c r="P31">
        <v>-3.7819999999999999E-2</v>
      </c>
      <c r="Q31">
        <v>-0.55584</v>
      </c>
      <c r="R31">
        <v>4.6172999999999999E-2</v>
      </c>
      <c r="S31">
        <v>4.7756E-2</v>
      </c>
      <c r="T31">
        <v>3.4273999999999999E-2</v>
      </c>
      <c r="U31">
        <v>0.97499999999999998</v>
      </c>
      <c r="V31">
        <v>0</v>
      </c>
      <c r="X31" t="s">
        <v>18</v>
      </c>
      <c r="Y31">
        <v>0.03</v>
      </c>
      <c r="Z31">
        <v>1.8426999999999999E-2</v>
      </c>
      <c r="AA31">
        <v>-9.9900000000000006E-3</v>
      </c>
      <c r="AB31">
        <v>-0.35154000000000002</v>
      </c>
      <c r="AC31">
        <v>4.2597999999999997E-2</v>
      </c>
      <c r="AD31">
        <v>4.4226000000000001E-2</v>
      </c>
      <c r="AE31">
        <v>3.8207999999999999E-2</v>
      </c>
      <c r="AF31">
        <v>0.97499999999999998</v>
      </c>
      <c r="AG31">
        <v>0</v>
      </c>
      <c r="AI31" t="s">
        <v>18</v>
      </c>
      <c r="AJ31">
        <v>0.03</v>
      </c>
      <c r="AK31">
        <v>3.0218999999999999E-2</v>
      </c>
      <c r="AL31">
        <v>-1.89E-3</v>
      </c>
      <c r="AM31">
        <v>-5.883E-2</v>
      </c>
      <c r="AN31">
        <v>4.6172999999999999E-2</v>
      </c>
      <c r="AO31">
        <v>4.7756E-2</v>
      </c>
      <c r="AP31">
        <v>3.4273999999999999E-2</v>
      </c>
      <c r="AQ31">
        <v>0.97899999999999998</v>
      </c>
      <c r="AR31">
        <v>0</v>
      </c>
      <c r="AS31" s="14"/>
    </row>
    <row r="32" spans="1:47" ht="14.45" hidden="1" customHeight="1" x14ac:dyDescent="0.25"/>
    <row r="33" spans="1:47" ht="14.45" customHeight="1" x14ac:dyDescent="0.25">
      <c r="A33" s="13" t="s">
        <v>69</v>
      </c>
      <c r="B33" s="1" t="s">
        <v>693</v>
      </c>
      <c r="J33" s="12" t="str">
        <f>INDEX('Method Codes'!$B:$B, MATCH(B33, 'Method Codes'!$I:$I,0))</f>
        <v>IND</v>
      </c>
      <c r="K33" s="12" t="str">
        <f>INDEX('Method Codes'!H:H, MATCH(B33, 'Method Codes'!I:I,0))</f>
        <v>3J</v>
      </c>
      <c r="M33" s="1" t="s">
        <v>694</v>
      </c>
      <c r="U33" s="12" t="str">
        <f>INDEX('Method Codes'!$B:$B, MATCH(M33, 'Method Codes'!$I:$I,0))</f>
        <v>EXCH</v>
      </c>
      <c r="V33" s="12" t="str">
        <f>INDEX('Method Codes'!$H:$H, MATCH(M33, 'Method Codes'!$I:$I,0))</f>
        <v>3J</v>
      </c>
      <c r="X33" s="1" t="s">
        <v>695</v>
      </c>
      <c r="AI33" s="1" t="s">
        <v>696</v>
      </c>
      <c r="AS33" s="13" t="s">
        <v>69</v>
      </c>
    </row>
    <row r="34" spans="1:47" x14ac:dyDescent="0.25">
      <c r="A34" s="14"/>
      <c r="B34" t="s">
        <v>2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J34" t="s">
        <v>10</v>
      </c>
      <c r="K34" t="s">
        <v>11</v>
      </c>
      <c r="M34" t="s">
        <v>2</v>
      </c>
      <c r="N34" t="s">
        <v>3</v>
      </c>
      <c r="O34" t="s">
        <v>4</v>
      </c>
      <c r="P34" t="s">
        <v>5</v>
      </c>
      <c r="Q34" t="s">
        <v>6</v>
      </c>
      <c r="R34" t="s">
        <v>7</v>
      </c>
      <c r="S34" t="s">
        <v>8</v>
      </c>
      <c r="T34" t="s">
        <v>9</v>
      </c>
      <c r="U34" t="s">
        <v>10</v>
      </c>
      <c r="V34" t="s">
        <v>11</v>
      </c>
      <c r="X34" t="s">
        <v>2</v>
      </c>
      <c r="Y34" t="s">
        <v>3</v>
      </c>
      <c r="Z34" t="s">
        <v>4</v>
      </c>
      <c r="AA34" t="s">
        <v>5</v>
      </c>
      <c r="AB34" t="s">
        <v>6</v>
      </c>
      <c r="AC34" t="s">
        <v>7</v>
      </c>
      <c r="AD34" t="s">
        <v>8</v>
      </c>
      <c r="AE34" t="s">
        <v>9</v>
      </c>
      <c r="AF34" t="s">
        <v>10</v>
      </c>
      <c r="AG34" t="s">
        <v>11</v>
      </c>
      <c r="AI34" t="s">
        <v>2</v>
      </c>
      <c r="AJ34" t="s">
        <v>3</v>
      </c>
      <c r="AK34" t="s">
        <v>4</v>
      </c>
      <c r="AL34" t="s">
        <v>5</v>
      </c>
      <c r="AM34" t="s">
        <v>6</v>
      </c>
      <c r="AN34" t="s">
        <v>7</v>
      </c>
      <c r="AO34" t="s">
        <v>8</v>
      </c>
      <c r="AP34" t="s">
        <v>9</v>
      </c>
      <c r="AQ34" t="s">
        <v>10</v>
      </c>
      <c r="AR34" t="s">
        <v>11</v>
      </c>
      <c r="AS34" s="14"/>
      <c r="AU34">
        <v>3</v>
      </c>
    </row>
    <row r="35" spans="1:47" x14ac:dyDescent="0.25">
      <c r="A35" s="14"/>
      <c r="B35" t="s">
        <v>12</v>
      </c>
      <c r="C35" cm="1">
        <f t="array" ref="C35:K41">_xlfn.LET(
_xlpm.keyA, J33,
_xlpm.keyB, K33,
_xlpm.rowKeys, B35:B41,
_xlpm.colKeys, C34:K34,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35">
        <v>3.1697000000000002</v>
      </c>
      <c r="E35">
        <v>3.4308741300000001E-2</v>
      </c>
      <c r="F35">
        <v>0.28543000000000002</v>
      </c>
      <c r="G35">
        <v>0.31521399999999999</v>
      </c>
      <c r="H35">
        <v>0.1043462139</v>
      </c>
      <c r="I35">
        <v>1.0942412300000001E-2</v>
      </c>
      <c r="J35">
        <v>0.95955056179999998</v>
      </c>
      <c r="K35">
        <v>0</v>
      </c>
      <c r="M35" t="s">
        <v>12</v>
      </c>
      <c r="N35" cm="1">
        <f t="array" ref="N35:V41">_xlfn.LET(
_xlpm.keyA, U33,
_xlpm.keyB, V33,
_xlpm.rowKeys, M35:M41,
_xlpm.colKeys, N34:V34,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35">
        <v>3.1882450000000002</v>
      </c>
      <c r="P35">
        <v>3.4357296500000002E-2</v>
      </c>
      <c r="Q35">
        <v>0.29749399999999998</v>
      </c>
      <c r="R35">
        <v>0.33068700000000001</v>
      </c>
      <c r="S35">
        <v>0.1115730682</v>
      </c>
      <c r="T35">
        <v>1.0893631900000001E-2</v>
      </c>
      <c r="U35">
        <v>0.95819209039999997</v>
      </c>
      <c r="V35">
        <v>0</v>
      </c>
      <c r="X35" t="s">
        <v>12</v>
      </c>
      <c r="Y35">
        <v>107.08</v>
      </c>
      <c r="Z35">
        <v>106.85706399999999</v>
      </c>
      <c r="AA35">
        <v>-0.22034000000000001</v>
      </c>
      <c r="AB35">
        <v>-2.0600000000000002E-3</v>
      </c>
      <c r="AC35">
        <v>2.2039010000000001</v>
      </c>
      <c r="AD35">
        <v>2.319591</v>
      </c>
      <c r="AE35">
        <v>5.2493999999999999E-2</v>
      </c>
      <c r="AF35">
        <v>0.95699999999999996</v>
      </c>
      <c r="AG35">
        <v>0</v>
      </c>
      <c r="AI35" t="s">
        <v>12</v>
      </c>
      <c r="AJ35">
        <v>106.81</v>
      </c>
      <c r="AK35">
        <v>106.52435800000001</v>
      </c>
      <c r="AL35">
        <v>-0.28810000000000002</v>
      </c>
      <c r="AM35">
        <v>-2.7000000000000001E-3</v>
      </c>
      <c r="AN35">
        <v>2.4330500000000002</v>
      </c>
      <c r="AO35">
        <v>2.5845470000000001</v>
      </c>
      <c r="AP35">
        <v>6.2266000000000002E-2</v>
      </c>
      <c r="AQ35">
        <v>0.96599999999999997</v>
      </c>
      <c r="AR35">
        <v>0</v>
      </c>
      <c r="AS35" s="14"/>
    </row>
    <row r="36" spans="1:47" x14ac:dyDescent="0.25">
      <c r="A36" s="14"/>
      <c r="B36" t="s">
        <v>13</v>
      </c>
      <c r="C36">
        <v>-0.44119999999999998</v>
      </c>
      <c r="D36">
        <v>-0.404943</v>
      </c>
      <c r="E36">
        <v>3.6262923099999997E-2</v>
      </c>
      <c r="F36">
        <v>0.112773</v>
      </c>
      <c r="G36">
        <v>0.120307</v>
      </c>
      <c r="H36">
        <v>6.6809652799999994E-2</v>
      </c>
      <c r="I36">
        <v>-8.2190405999999994E-2</v>
      </c>
      <c r="J36">
        <v>0.93820224720000001</v>
      </c>
      <c r="K36">
        <v>0</v>
      </c>
      <c r="M36" t="s">
        <v>13</v>
      </c>
      <c r="N36">
        <v>-0.434</v>
      </c>
      <c r="O36">
        <v>-0.39889400000000003</v>
      </c>
      <c r="P36">
        <v>3.5066112900000002E-2</v>
      </c>
      <c r="Q36">
        <v>0.11601499999999999</v>
      </c>
      <c r="R36">
        <v>0.12447</v>
      </c>
      <c r="S36">
        <v>7.2883530700000004E-2</v>
      </c>
      <c r="T36">
        <v>-8.0804936999999993E-2</v>
      </c>
      <c r="U36">
        <v>0.93559322030000003</v>
      </c>
      <c r="V36">
        <v>0</v>
      </c>
      <c r="X36" t="s">
        <v>13</v>
      </c>
      <c r="Y36">
        <v>-4.7699999999999996</v>
      </c>
      <c r="Z36">
        <v>-4.8473030000000001</v>
      </c>
      <c r="AA36">
        <v>-7.8659999999999994E-2</v>
      </c>
      <c r="AB36">
        <v>1.6500000000000001E-2</v>
      </c>
      <c r="AC36">
        <v>0.878085</v>
      </c>
      <c r="AD36">
        <v>0.89137699999999997</v>
      </c>
      <c r="AE36">
        <v>1.5136999999999999E-2</v>
      </c>
      <c r="AF36">
        <v>0.95</v>
      </c>
      <c r="AG36">
        <v>0</v>
      </c>
      <c r="AI36" t="s">
        <v>13</v>
      </c>
      <c r="AJ36">
        <v>-4.8</v>
      </c>
      <c r="AK36">
        <v>-4.9949709999999996</v>
      </c>
      <c r="AL36">
        <v>-0.19569</v>
      </c>
      <c r="AM36">
        <v>4.0770000000000001E-2</v>
      </c>
      <c r="AN36">
        <v>0.98218700000000003</v>
      </c>
      <c r="AO36">
        <v>1.0051760000000001</v>
      </c>
      <c r="AP36">
        <v>2.3406E-2</v>
      </c>
      <c r="AQ36">
        <v>0.94499999999999995</v>
      </c>
      <c r="AR36">
        <v>0</v>
      </c>
      <c r="AS36" s="14"/>
      <c r="AU36" t="s">
        <v>105</v>
      </c>
    </row>
    <row r="37" spans="1:47" x14ac:dyDescent="0.25">
      <c r="A37" s="14"/>
      <c r="B37" t="s">
        <v>14</v>
      </c>
      <c r="C37">
        <v>-7.3000000000000001E-3</v>
      </c>
      <c r="D37">
        <v>-2.3390999999999999E-2</v>
      </c>
      <c r="E37">
        <v>-1.6077516E-2</v>
      </c>
      <c r="F37">
        <v>5.6464E-2</v>
      </c>
      <c r="G37">
        <v>6.1464999999999999E-2</v>
      </c>
      <c r="H37">
        <v>8.8578709800000002E-2</v>
      </c>
      <c r="I37">
        <v>2.1981930401000001</v>
      </c>
      <c r="J37">
        <v>0.95056179780000005</v>
      </c>
      <c r="K37">
        <v>0</v>
      </c>
      <c r="M37" t="s">
        <v>14</v>
      </c>
      <c r="N37">
        <v>-7.6E-3</v>
      </c>
      <c r="O37">
        <v>-2.2585999999999998E-2</v>
      </c>
      <c r="P37">
        <v>-1.4967851000000001E-2</v>
      </c>
      <c r="Q37">
        <v>5.7076000000000002E-2</v>
      </c>
      <c r="R37">
        <v>6.1676000000000002E-2</v>
      </c>
      <c r="S37">
        <v>8.06092853E-2</v>
      </c>
      <c r="T37">
        <v>1.9647977939000001</v>
      </c>
      <c r="U37">
        <v>0.95367231640000005</v>
      </c>
      <c r="V37">
        <v>0</v>
      </c>
      <c r="X37" t="s">
        <v>14</v>
      </c>
      <c r="Y37">
        <v>8.6999999999999993</v>
      </c>
      <c r="Z37">
        <v>8.7105530000000009</v>
      </c>
      <c r="AA37">
        <v>1.3849999999999999E-2</v>
      </c>
      <c r="AB37">
        <v>1.5900000000000001E-3</v>
      </c>
      <c r="AC37">
        <v>0.517065</v>
      </c>
      <c r="AD37">
        <v>0.52274900000000002</v>
      </c>
      <c r="AE37">
        <v>1.0992E-2</v>
      </c>
      <c r="AF37">
        <v>0.95399999999999996</v>
      </c>
      <c r="AG37">
        <v>0</v>
      </c>
      <c r="AI37" t="s">
        <v>14</v>
      </c>
      <c r="AJ37">
        <v>8.6999999999999993</v>
      </c>
      <c r="AK37">
        <v>8.7239810000000002</v>
      </c>
      <c r="AL37">
        <v>2.1770000000000001E-2</v>
      </c>
      <c r="AM37">
        <v>2.5000000000000001E-3</v>
      </c>
      <c r="AN37">
        <v>0.57582999999999995</v>
      </c>
      <c r="AO37">
        <v>0.59188300000000005</v>
      </c>
      <c r="AP37">
        <v>2.7876999999999999E-2</v>
      </c>
      <c r="AQ37">
        <v>0.96199999999999997</v>
      </c>
      <c r="AR37">
        <v>0</v>
      </c>
      <c r="AS37" s="14"/>
    </row>
    <row r="38" spans="1:47" x14ac:dyDescent="0.25">
      <c r="A38" s="14"/>
      <c r="B38" t="s">
        <v>15</v>
      </c>
      <c r="C38">
        <v>-0.45419999999999999</v>
      </c>
      <c r="D38">
        <v>-0.50672200000000001</v>
      </c>
      <c r="E38">
        <v>-5.2533600999999999E-2</v>
      </c>
      <c r="F38">
        <v>8.3796999999999996E-2</v>
      </c>
      <c r="G38">
        <v>8.6332000000000006E-2</v>
      </c>
      <c r="H38">
        <v>3.0243344299999999E-2</v>
      </c>
      <c r="I38">
        <v>0.1156648681</v>
      </c>
      <c r="J38">
        <v>0.83370786519999995</v>
      </c>
      <c r="K38">
        <v>0</v>
      </c>
      <c r="M38" t="s">
        <v>15</v>
      </c>
      <c r="N38">
        <v>-0.4551</v>
      </c>
      <c r="O38">
        <v>-0.51294399999999996</v>
      </c>
      <c r="P38">
        <v>-5.7812329000000003E-2</v>
      </c>
      <c r="Q38">
        <v>8.6645E-2</v>
      </c>
      <c r="R38">
        <v>8.9452000000000004E-2</v>
      </c>
      <c r="S38">
        <v>3.2391855900000002E-2</v>
      </c>
      <c r="T38">
        <v>0.1270232426</v>
      </c>
      <c r="U38">
        <v>0.83389830509999996</v>
      </c>
      <c r="V38">
        <v>0</v>
      </c>
      <c r="X38" t="s">
        <v>15</v>
      </c>
      <c r="Y38">
        <v>-1.61</v>
      </c>
      <c r="Z38">
        <v>-1.6308609999999999</v>
      </c>
      <c r="AA38">
        <v>-2.0570000000000001E-2</v>
      </c>
      <c r="AB38">
        <v>1.277E-2</v>
      </c>
      <c r="AC38">
        <v>0.59677100000000005</v>
      </c>
      <c r="AD38">
        <v>0.61003799999999997</v>
      </c>
      <c r="AE38">
        <v>2.2231000000000001E-2</v>
      </c>
      <c r="AF38">
        <v>0.95399999999999996</v>
      </c>
      <c r="AG38">
        <v>0</v>
      </c>
      <c r="AI38" t="s">
        <v>15</v>
      </c>
      <c r="AJ38">
        <v>-1.58</v>
      </c>
      <c r="AK38">
        <v>-1.7076039999999999</v>
      </c>
      <c r="AL38">
        <v>-0.12698000000000001</v>
      </c>
      <c r="AM38">
        <v>8.0329999999999999E-2</v>
      </c>
      <c r="AN38">
        <v>0.68135199999999996</v>
      </c>
      <c r="AO38">
        <v>0.694608</v>
      </c>
      <c r="AP38">
        <v>1.9456000000000001E-2</v>
      </c>
      <c r="AQ38">
        <v>0.95599999999999996</v>
      </c>
      <c r="AR38">
        <v>0</v>
      </c>
      <c r="AS38" s="14"/>
    </row>
    <row r="39" spans="1:47" x14ac:dyDescent="0.25">
      <c r="A39" s="14"/>
      <c r="B39" t="s">
        <v>16</v>
      </c>
      <c r="C39">
        <v>-8.2500000000000004E-2</v>
      </c>
      <c r="D39">
        <v>-9.2156000000000002E-2</v>
      </c>
      <c r="E39">
        <v>-9.6135140000000001E-3</v>
      </c>
      <c r="F39">
        <v>7.1318000000000006E-2</v>
      </c>
      <c r="G39">
        <v>7.6083999999999999E-2</v>
      </c>
      <c r="H39">
        <v>6.6819164299999997E-2</v>
      </c>
      <c r="I39">
        <v>0.1164675702</v>
      </c>
      <c r="J39">
        <v>0.96853932580000002</v>
      </c>
      <c r="K39">
        <v>0</v>
      </c>
      <c r="M39" t="s">
        <v>16</v>
      </c>
      <c r="N39">
        <v>-8.0399999999999999E-2</v>
      </c>
      <c r="O39">
        <v>-8.9098999999999998E-2</v>
      </c>
      <c r="P39">
        <v>-8.6926350000000006E-3</v>
      </c>
      <c r="Q39">
        <v>7.1054999999999993E-2</v>
      </c>
      <c r="R39">
        <v>7.6451000000000005E-2</v>
      </c>
      <c r="S39">
        <v>7.59424972E-2</v>
      </c>
      <c r="T39">
        <v>0.10810856219999999</v>
      </c>
      <c r="U39">
        <v>0.96497175140000002</v>
      </c>
      <c r="V39">
        <v>0</v>
      </c>
      <c r="X39" t="s">
        <v>16</v>
      </c>
      <c r="Y39">
        <v>-7.92</v>
      </c>
      <c r="Z39">
        <v>-7.9424720000000004</v>
      </c>
      <c r="AA39">
        <v>-2.7300000000000001E-2</v>
      </c>
      <c r="AB39">
        <v>3.4499999999999999E-3</v>
      </c>
      <c r="AC39">
        <v>0.63739299999999999</v>
      </c>
      <c r="AD39">
        <v>0.65396900000000002</v>
      </c>
      <c r="AE39">
        <v>2.6005E-2</v>
      </c>
      <c r="AF39">
        <v>0.95499999999999996</v>
      </c>
      <c r="AG39">
        <v>0</v>
      </c>
      <c r="AI39" t="s">
        <v>16</v>
      </c>
      <c r="AJ39">
        <v>-7.78</v>
      </c>
      <c r="AK39">
        <v>-7.8238729999999999</v>
      </c>
      <c r="AL39">
        <v>-4.7440000000000003E-2</v>
      </c>
      <c r="AM39">
        <v>6.1000000000000004E-3</v>
      </c>
      <c r="AN39">
        <v>0.74884899999999999</v>
      </c>
      <c r="AO39">
        <v>0.74396600000000002</v>
      </c>
      <c r="AP39">
        <v>-6.5209999999999999E-3</v>
      </c>
      <c r="AQ39">
        <v>0.95099999999999996</v>
      </c>
      <c r="AR39">
        <v>0</v>
      </c>
      <c r="AS39" s="14"/>
    </row>
    <row r="40" spans="1:47" x14ac:dyDescent="0.25">
      <c r="A40" s="14"/>
      <c r="B40" t="s">
        <v>17</v>
      </c>
      <c r="C40">
        <v>-0.12590000000000001</v>
      </c>
      <c r="D40">
        <v>-0.13143099999999999</v>
      </c>
      <c r="E40">
        <v>-5.4846640000000002E-3</v>
      </c>
      <c r="F40">
        <v>8.3479999999999995E-3</v>
      </c>
      <c r="G40">
        <v>8.6210000000000002E-3</v>
      </c>
      <c r="H40">
        <v>3.2741242900000002E-2</v>
      </c>
      <c r="I40">
        <v>4.3547640499999998E-2</v>
      </c>
      <c r="J40">
        <v>0.91123595509999999</v>
      </c>
      <c r="K40">
        <v>0</v>
      </c>
      <c r="M40" t="s">
        <v>17</v>
      </c>
      <c r="N40">
        <v>-0.1255</v>
      </c>
      <c r="O40">
        <v>-0.131497</v>
      </c>
      <c r="P40">
        <v>-6.031982E-3</v>
      </c>
      <c r="Q40">
        <v>8.8830000000000003E-3</v>
      </c>
      <c r="R40">
        <v>9.1660000000000005E-3</v>
      </c>
      <c r="S40">
        <v>3.18861992E-2</v>
      </c>
      <c r="T40">
        <v>4.8077105000000002E-2</v>
      </c>
      <c r="U40">
        <v>0.90395480230000003</v>
      </c>
      <c r="V40">
        <v>0</v>
      </c>
      <c r="X40" t="s">
        <v>17</v>
      </c>
      <c r="Y40">
        <v>5.87</v>
      </c>
      <c r="Z40">
        <v>5.8579929999999996</v>
      </c>
      <c r="AA40">
        <v>-1.0149999999999999E-2</v>
      </c>
      <c r="AB40">
        <v>-1.73E-3</v>
      </c>
      <c r="AC40">
        <v>4.0548000000000001E-2</v>
      </c>
      <c r="AD40">
        <v>4.4018000000000002E-2</v>
      </c>
      <c r="AE40">
        <v>8.5591E-2</v>
      </c>
      <c r="AF40">
        <v>0.96599999999999997</v>
      </c>
      <c r="AG40">
        <v>0</v>
      </c>
      <c r="AI40" t="s">
        <v>17</v>
      </c>
      <c r="AJ40">
        <v>5.86</v>
      </c>
      <c r="AK40">
        <v>5.8416199999999998</v>
      </c>
      <c r="AL40">
        <v>-2.2790000000000001E-2</v>
      </c>
      <c r="AM40">
        <v>-3.8899999999999998E-3</v>
      </c>
      <c r="AN40">
        <v>4.1298000000000001E-2</v>
      </c>
      <c r="AO40">
        <v>4.5127E-2</v>
      </c>
      <c r="AP40">
        <v>9.2735999999999999E-2</v>
      </c>
      <c r="AQ40">
        <v>0.95199999999999996</v>
      </c>
      <c r="AR40">
        <v>0</v>
      </c>
      <c r="AS40" s="14"/>
    </row>
    <row r="41" spans="1:47" x14ac:dyDescent="0.25">
      <c r="A41" s="14"/>
      <c r="B41" t="s">
        <v>18</v>
      </c>
      <c r="C41">
        <v>-6.9999999999999999E-4</v>
      </c>
      <c r="D41">
        <v>3.8670000000000002E-3</v>
      </c>
      <c r="E41">
        <v>4.5751165999999999E-3</v>
      </c>
      <c r="F41">
        <v>6.0229999999999997E-3</v>
      </c>
      <c r="G41">
        <v>6.4869999999999997E-3</v>
      </c>
      <c r="H41">
        <v>7.7058684099999997E-2</v>
      </c>
      <c r="I41">
        <v>-6.4646628850000001</v>
      </c>
      <c r="J41">
        <v>0.90786516849999999</v>
      </c>
      <c r="K41">
        <v>0</v>
      </c>
      <c r="M41" t="s">
        <v>18</v>
      </c>
      <c r="N41">
        <v>-1.1999999999999999E-3</v>
      </c>
      <c r="O41">
        <v>3.9039999999999999E-3</v>
      </c>
      <c r="P41">
        <v>5.0962170000000001E-3</v>
      </c>
      <c r="Q41">
        <v>6.6600000000000001E-3</v>
      </c>
      <c r="R41">
        <v>7.1390000000000004E-3</v>
      </c>
      <c r="S41">
        <v>7.2026833400000004E-2</v>
      </c>
      <c r="T41">
        <v>-4.274040265</v>
      </c>
      <c r="U41">
        <v>0.90734463279999999</v>
      </c>
      <c r="V41">
        <v>0</v>
      </c>
      <c r="X41" t="s">
        <v>18</v>
      </c>
      <c r="Y41">
        <v>0.03</v>
      </c>
      <c r="Z41">
        <v>3.9914999999999999E-2</v>
      </c>
      <c r="AA41">
        <v>1.15E-2</v>
      </c>
      <c r="AB41">
        <v>0.40462999999999999</v>
      </c>
      <c r="AC41">
        <v>3.1357000000000003E-2</v>
      </c>
      <c r="AD41">
        <v>3.3947999999999999E-2</v>
      </c>
      <c r="AE41">
        <v>8.2627000000000006E-2</v>
      </c>
      <c r="AF41">
        <v>0.95899999999999996</v>
      </c>
      <c r="AG41">
        <v>0</v>
      </c>
      <c r="AI41" t="s">
        <v>18</v>
      </c>
      <c r="AJ41">
        <v>0.03</v>
      </c>
      <c r="AK41">
        <v>5.6122999999999999E-2</v>
      </c>
      <c r="AL41">
        <v>2.402E-2</v>
      </c>
      <c r="AM41">
        <v>0.74794000000000005</v>
      </c>
      <c r="AN41">
        <v>3.2455999999999999E-2</v>
      </c>
      <c r="AO41">
        <v>3.508E-2</v>
      </c>
      <c r="AP41">
        <v>8.0852999999999994E-2</v>
      </c>
      <c r="AQ41">
        <v>0.93500000000000005</v>
      </c>
      <c r="AR41">
        <v>0</v>
      </c>
      <c r="AS41" s="14"/>
    </row>
    <row r="43" spans="1:47" ht="14.45" customHeight="1" x14ac:dyDescent="0.25">
      <c r="A43" s="13" t="s">
        <v>70</v>
      </c>
      <c r="B43" s="1" t="s">
        <v>697</v>
      </c>
      <c r="J43" s="12" t="str">
        <f>INDEX('Method Codes'!$B:$B, MATCH(B43, 'Method Codes'!$I:$I,0))</f>
        <v>IND</v>
      </c>
      <c r="K43" s="12" t="str">
        <f>INDEX('Method Codes'!H:H, MATCH(B43, 'Method Codes'!I:I,0))</f>
        <v>4S</v>
      </c>
      <c r="M43" s="1" t="s">
        <v>698</v>
      </c>
      <c r="U43" s="12" t="str">
        <f>INDEX('Method Codes'!$B:$B, MATCH(M43, 'Method Codes'!$I:$I,0))</f>
        <v>EXCH</v>
      </c>
      <c r="V43" s="12" t="str">
        <f>INDEX('Method Codes'!$H:$H, MATCH(M43, 'Method Codes'!$I:$I,0))</f>
        <v>4S</v>
      </c>
      <c r="X43" s="1" t="s">
        <v>699</v>
      </c>
      <c r="AI43" s="1" t="s">
        <v>700</v>
      </c>
      <c r="AS43" s="13" t="s">
        <v>70</v>
      </c>
    </row>
    <row r="44" spans="1:47" x14ac:dyDescent="0.25">
      <c r="A44" s="14"/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  <c r="J44" t="s">
        <v>10</v>
      </c>
      <c r="K44" t="s">
        <v>11</v>
      </c>
      <c r="M44" t="s">
        <v>2</v>
      </c>
      <c r="N44" t="s">
        <v>3</v>
      </c>
      <c r="O44" t="s">
        <v>4</v>
      </c>
      <c r="P44" t="s">
        <v>5</v>
      </c>
      <c r="Q44" t="s">
        <v>6</v>
      </c>
      <c r="R44" t="s">
        <v>7</v>
      </c>
      <c r="S44" t="s">
        <v>8</v>
      </c>
      <c r="T44" t="s">
        <v>9</v>
      </c>
      <c r="U44" t="s">
        <v>10</v>
      </c>
      <c r="V44" t="s">
        <v>11</v>
      </c>
      <c r="X44" t="s">
        <v>2</v>
      </c>
      <c r="Y44" t="s">
        <v>3</v>
      </c>
      <c r="Z44" t="s">
        <v>4</v>
      </c>
      <c r="AA44" t="s">
        <v>5</v>
      </c>
      <c r="AB44" t="s">
        <v>6</v>
      </c>
      <c r="AC44" t="s">
        <v>7</v>
      </c>
      <c r="AD44" t="s">
        <v>8</v>
      </c>
      <c r="AE44" t="s">
        <v>9</v>
      </c>
      <c r="AF44" t="s">
        <v>10</v>
      </c>
      <c r="AG44" t="s">
        <v>11</v>
      </c>
      <c r="AI44" t="s">
        <v>2</v>
      </c>
      <c r="AJ44" t="s">
        <v>3</v>
      </c>
      <c r="AK44" t="s">
        <v>4</v>
      </c>
      <c r="AL44" t="s">
        <v>5</v>
      </c>
      <c r="AM44" t="s">
        <v>6</v>
      </c>
      <c r="AN44" t="s">
        <v>7</v>
      </c>
      <c r="AO44" t="s">
        <v>8</v>
      </c>
      <c r="AP44" t="s">
        <v>9</v>
      </c>
      <c r="AQ44" t="s">
        <v>10</v>
      </c>
      <c r="AR44" t="s">
        <v>11</v>
      </c>
      <c r="AS44" s="14"/>
      <c r="AU44" t="s">
        <v>104</v>
      </c>
    </row>
    <row r="45" spans="1:47" x14ac:dyDescent="0.25">
      <c r="A45" s="14"/>
      <c r="B45" t="s">
        <v>12</v>
      </c>
      <c r="C45" cm="1">
        <f t="array" ref="C45:K51">_xlfn.LET(
_xlpm.keyA, J43,
_xlpm.keyB, K43,
_xlpm.rowKeys, B45:B51,
_xlpm.colKeys, C44:K44,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45">
        <v>3.1463380000000001</v>
      </c>
      <c r="E45">
        <v>1.09469502E-2</v>
      </c>
      <c r="F45">
        <v>0.25076799999999999</v>
      </c>
      <c r="G45">
        <v>0.24068800000000001</v>
      </c>
      <c r="H45">
        <v>-4.0198315999999998E-2</v>
      </c>
      <c r="I45">
        <v>3.4914147000000002E-3</v>
      </c>
      <c r="J45">
        <v>0.93959731540000002</v>
      </c>
      <c r="K45">
        <v>1</v>
      </c>
      <c r="M45" t="s">
        <v>12</v>
      </c>
      <c r="N45" cm="1">
        <f t="array" ref="N45:V51">_xlfn.LET(
_xlpm.keyA, U43,
_xlpm.keyB, V43,
_xlpm.rowKeys, M45:M51,
_xlpm.colKeys, N44:V44,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45">
        <v>3.1715659999999999</v>
      </c>
      <c r="P45">
        <v>1.7677576399999999E-2</v>
      </c>
      <c r="Q45">
        <v>0.26333600000000001</v>
      </c>
      <c r="R45">
        <v>0.25223699999999999</v>
      </c>
      <c r="S45">
        <v>-4.2147666E-2</v>
      </c>
      <c r="T45">
        <v>5.6050105999999999E-3</v>
      </c>
      <c r="U45">
        <v>0.94269662919999997</v>
      </c>
      <c r="V45">
        <v>1</v>
      </c>
      <c r="X45" t="s">
        <v>12</v>
      </c>
      <c r="Y45">
        <v>107.08</v>
      </c>
      <c r="Z45">
        <v>107.13679999999999</v>
      </c>
      <c r="AA45">
        <v>5.9371E-2</v>
      </c>
      <c r="AB45">
        <v>5.5400000000000002E-4</v>
      </c>
      <c r="AC45">
        <v>1.9775</v>
      </c>
      <c r="AD45">
        <v>2.0179999999999998</v>
      </c>
      <c r="AE45">
        <v>2.0473999999999999E-2</v>
      </c>
      <c r="AF45">
        <v>0.95299999999999996</v>
      </c>
      <c r="AG45">
        <v>1</v>
      </c>
      <c r="AI45" t="s">
        <v>12</v>
      </c>
      <c r="AJ45">
        <v>106.81</v>
      </c>
      <c r="AK45">
        <v>106.67440000000001</v>
      </c>
      <c r="AL45">
        <v>-0.1381</v>
      </c>
      <c r="AM45">
        <v>-1.2899999999999999E-3</v>
      </c>
      <c r="AN45">
        <v>2.1812999999999998</v>
      </c>
      <c r="AO45">
        <v>2.2433000000000001</v>
      </c>
      <c r="AP45">
        <v>2.8421999999999999E-2</v>
      </c>
      <c r="AQ45">
        <v>0.95799999999999996</v>
      </c>
      <c r="AR45">
        <v>1</v>
      </c>
      <c r="AS45" s="14"/>
    </row>
    <row r="46" spans="1:47" x14ac:dyDescent="0.25">
      <c r="A46" s="14"/>
      <c r="B46" t="s">
        <v>13</v>
      </c>
      <c r="C46">
        <v>-0.44119999999999998</v>
      </c>
      <c r="D46">
        <v>-0.44830999999999999</v>
      </c>
      <c r="E46">
        <v>-7.1033099999999998E-3</v>
      </c>
      <c r="F46">
        <v>9.7798999999999997E-2</v>
      </c>
      <c r="G46">
        <v>9.2397999999999994E-2</v>
      </c>
      <c r="H46">
        <v>-5.5222997000000003E-2</v>
      </c>
      <c r="I46">
        <v>1.6099747899999999E-2</v>
      </c>
      <c r="J46">
        <v>0.9362416107</v>
      </c>
      <c r="K46">
        <v>0.99328859059999997</v>
      </c>
      <c r="M46" t="s">
        <v>13</v>
      </c>
      <c r="N46">
        <v>-0.434</v>
      </c>
      <c r="O46">
        <v>-0.43985999999999997</v>
      </c>
      <c r="P46">
        <v>-5.8996600000000001E-3</v>
      </c>
      <c r="Q46">
        <v>0.10154299999999999</v>
      </c>
      <c r="R46">
        <v>9.5985000000000001E-2</v>
      </c>
      <c r="S46">
        <v>-5.4742093999999998E-2</v>
      </c>
      <c r="T46">
        <v>1.3594937600000001E-2</v>
      </c>
      <c r="U46">
        <v>0.93483146070000001</v>
      </c>
      <c r="V46">
        <v>0.99101123599999996</v>
      </c>
      <c r="X46" t="s">
        <v>13</v>
      </c>
      <c r="Y46">
        <v>-4.7699999999999996</v>
      </c>
      <c r="Z46">
        <v>-4.8291000000000004</v>
      </c>
      <c r="AA46">
        <v>-6.0409999999999998E-2</v>
      </c>
      <c r="AB46">
        <v>1.2668E-2</v>
      </c>
      <c r="AC46">
        <v>0.77800000000000002</v>
      </c>
      <c r="AD46">
        <v>0.77749999999999997</v>
      </c>
      <c r="AE46">
        <v>-7.5100000000000004E-4</v>
      </c>
      <c r="AF46">
        <v>0.95</v>
      </c>
      <c r="AG46">
        <v>1</v>
      </c>
      <c r="AI46" t="s">
        <v>13</v>
      </c>
      <c r="AJ46">
        <v>-4.8</v>
      </c>
      <c r="AK46">
        <v>-4.9938000000000002</v>
      </c>
      <c r="AL46">
        <v>-0.19447999999999999</v>
      </c>
      <c r="AM46">
        <v>4.052E-2</v>
      </c>
      <c r="AN46">
        <v>0.86550000000000005</v>
      </c>
      <c r="AO46">
        <v>0.87060000000000004</v>
      </c>
      <c r="AP46">
        <v>5.9919999999999999E-3</v>
      </c>
      <c r="AQ46">
        <v>0.95199999999999996</v>
      </c>
      <c r="AR46">
        <v>1</v>
      </c>
      <c r="AS46" s="14"/>
    </row>
    <row r="47" spans="1:47" x14ac:dyDescent="0.25">
      <c r="A47" s="14"/>
      <c r="B47" t="s">
        <v>14</v>
      </c>
      <c r="C47">
        <v>-7.3000000000000001E-3</v>
      </c>
      <c r="D47">
        <v>-8.3979999999999992E-3</v>
      </c>
      <c r="E47">
        <v>-1.0842289999999999E-3</v>
      </c>
      <c r="F47">
        <v>5.5668000000000002E-2</v>
      </c>
      <c r="G47">
        <v>5.6573999999999999E-2</v>
      </c>
      <c r="H47">
        <v>1.6273972000000001E-2</v>
      </c>
      <c r="I47">
        <v>0.1482408717</v>
      </c>
      <c r="J47">
        <v>0.9563758389</v>
      </c>
      <c r="K47">
        <v>4.6979865799999999E-2</v>
      </c>
      <c r="M47" t="s">
        <v>14</v>
      </c>
      <c r="N47">
        <v>-7.6E-3</v>
      </c>
      <c r="O47">
        <v>-8.293E-3</v>
      </c>
      <c r="P47">
        <v>-6.74502E-4</v>
      </c>
      <c r="Q47">
        <v>5.8194999999999997E-2</v>
      </c>
      <c r="R47">
        <v>5.8355999999999998E-2</v>
      </c>
      <c r="S47">
        <v>2.7828872E-3</v>
      </c>
      <c r="T47">
        <v>8.8540462599999994E-2</v>
      </c>
      <c r="U47">
        <v>0.95505617980000002</v>
      </c>
      <c r="V47">
        <v>4.6067415700000003E-2</v>
      </c>
      <c r="X47" t="s">
        <v>14</v>
      </c>
      <c r="Y47">
        <v>8.6999999999999993</v>
      </c>
      <c r="Z47">
        <v>8.6639999999999997</v>
      </c>
      <c r="AA47">
        <v>-3.2735E-2</v>
      </c>
      <c r="AB47">
        <v>-3.764E-3</v>
      </c>
      <c r="AC47">
        <v>0.46460000000000001</v>
      </c>
      <c r="AD47">
        <v>0.46820000000000001</v>
      </c>
      <c r="AE47">
        <v>7.7799999999999996E-3</v>
      </c>
      <c r="AF47">
        <v>0.95199999999999996</v>
      </c>
      <c r="AG47">
        <v>1</v>
      </c>
      <c r="AI47" t="s">
        <v>14</v>
      </c>
      <c r="AJ47">
        <v>8.6999999999999993</v>
      </c>
      <c r="AK47">
        <v>8.6630000000000003</v>
      </c>
      <c r="AL47">
        <v>-3.9190000000000003E-2</v>
      </c>
      <c r="AM47">
        <v>-4.4999999999999997E-3</v>
      </c>
      <c r="AN47">
        <v>0.5171</v>
      </c>
      <c r="AO47">
        <v>0.52869999999999995</v>
      </c>
      <c r="AP47">
        <v>2.2495999999999999E-2</v>
      </c>
      <c r="AQ47">
        <v>0.95499999999999996</v>
      </c>
      <c r="AR47">
        <v>1</v>
      </c>
      <c r="AS47" s="14"/>
    </row>
    <row r="48" spans="1:47" x14ac:dyDescent="0.25">
      <c r="A48" s="14"/>
      <c r="B48" t="s">
        <v>15</v>
      </c>
      <c r="C48">
        <v>-0.45419999999999999</v>
      </c>
      <c r="D48">
        <v>-0.45122600000000002</v>
      </c>
      <c r="E48">
        <v>2.9621182999999998E-3</v>
      </c>
      <c r="F48">
        <v>6.1524000000000002E-2</v>
      </c>
      <c r="G48">
        <v>5.8804000000000002E-2</v>
      </c>
      <c r="H48">
        <v>-4.4217733000000002E-2</v>
      </c>
      <c r="I48">
        <v>-6.5217879999999997E-3</v>
      </c>
      <c r="J48">
        <v>0.93736017900000002</v>
      </c>
      <c r="K48">
        <v>1</v>
      </c>
      <c r="M48" t="s">
        <v>15</v>
      </c>
      <c r="N48">
        <v>-0.4551</v>
      </c>
      <c r="O48">
        <v>-0.45554699999999998</v>
      </c>
      <c r="P48">
        <v>-4.1462699999999999E-4</v>
      </c>
      <c r="Q48">
        <v>6.4739000000000005E-2</v>
      </c>
      <c r="R48">
        <v>6.2080999999999997E-2</v>
      </c>
      <c r="S48">
        <v>-4.1057774999999998E-2</v>
      </c>
      <c r="T48">
        <v>9.1100329999999996E-4</v>
      </c>
      <c r="U48">
        <v>0.94157303370000001</v>
      </c>
      <c r="V48">
        <v>1</v>
      </c>
      <c r="X48" t="s">
        <v>15</v>
      </c>
      <c r="Y48">
        <v>-1.61</v>
      </c>
      <c r="Z48">
        <v>-1.6029</v>
      </c>
      <c r="AA48">
        <v>7.3759999999999997E-3</v>
      </c>
      <c r="AB48">
        <v>-4.581E-3</v>
      </c>
      <c r="AC48">
        <v>0.4879</v>
      </c>
      <c r="AD48">
        <v>0.49940000000000001</v>
      </c>
      <c r="AE48">
        <v>2.3392E-2</v>
      </c>
      <c r="AF48">
        <v>0.95699999999999996</v>
      </c>
      <c r="AG48">
        <v>0.89800000000000002</v>
      </c>
      <c r="AI48" t="s">
        <v>15</v>
      </c>
      <c r="AJ48">
        <v>-1.58</v>
      </c>
      <c r="AK48">
        <v>-1.6794</v>
      </c>
      <c r="AL48">
        <v>-9.8820000000000005E-2</v>
      </c>
      <c r="AM48">
        <v>6.2520000000000006E-2</v>
      </c>
      <c r="AN48">
        <v>0.55030000000000001</v>
      </c>
      <c r="AO48">
        <v>0.56899999999999995</v>
      </c>
      <c r="AP48">
        <v>3.3947999999999999E-2</v>
      </c>
      <c r="AQ48">
        <v>0.96599999999999997</v>
      </c>
      <c r="AR48">
        <v>0.84299999999999997</v>
      </c>
      <c r="AS48" s="14"/>
    </row>
    <row r="49" spans="1:45" x14ac:dyDescent="0.25">
      <c r="A49" s="14"/>
      <c r="B49" t="s">
        <v>16</v>
      </c>
      <c r="C49">
        <v>-8.2500000000000004E-2</v>
      </c>
      <c r="D49">
        <v>-8.3864999999999995E-2</v>
      </c>
      <c r="E49">
        <v>-1.3227670000000001E-3</v>
      </c>
      <c r="F49">
        <v>7.2968000000000005E-2</v>
      </c>
      <c r="G49">
        <v>7.1572999999999998E-2</v>
      </c>
      <c r="H49">
        <v>-1.9122041999999999E-2</v>
      </c>
      <c r="I49">
        <v>1.60252985E-2</v>
      </c>
      <c r="J49">
        <v>0.94966442949999996</v>
      </c>
      <c r="K49">
        <v>0.2337807606</v>
      </c>
      <c r="M49" t="s">
        <v>16</v>
      </c>
      <c r="N49">
        <v>-8.0399999999999999E-2</v>
      </c>
      <c r="O49">
        <v>-8.1016000000000005E-2</v>
      </c>
      <c r="P49">
        <v>-6.0920400000000002E-4</v>
      </c>
      <c r="Q49">
        <v>7.4995000000000006E-2</v>
      </c>
      <c r="R49">
        <v>7.3821999999999999E-2</v>
      </c>
      <c r="S49">
        <v>-1.5637759000000001E-2</v>
      </c>
      <c r="T49">
        <v>7.576546E-3</v>
      </c>
      <c r="U49">
        <v>0.94382022470000004</v>
      </c>
      <c r="V49">
        <v>0.21123595510000001</v>
      </c>
      <c r="X49" t="s">
        <v>16</v>
      </c>
      <c r="Y49">
        <v>-7.92</v>
      </c>
      <c r="Z49">
        <v>-7.8758999999999997</v>
      </c>
      <c r="AA49">
        <v>3.925E-2</v>
      </c>
      <c r="AB49">
        <v>-4.9589999999999999E-3</v>
      </c>
      <c r="AC49">
        <v>0.57589999999999997</v>
      </c>
      <c r="AD49">
        <v>0.58789999999999998</v>
      </c>
      <c r="AE49">
        <v>2.0841999999999999E-2</v>
      </c>
      <c r="AF49">
        <v>0.95499999999999996</v>
      </c>
      <c r="AG49">
        <v>1</v>
      </c>
      <c r="AI49" t="s">
        <v>16</v>
      </c>
      <c r="AJ49">
        <v>-7.78</v>
      </c>
      <c r="AK49">
        <v>-7.7866999999999997</v>
      </c>
      <c r="AL49">
        <v>-1.025E-2</v>
      </c>
      <c r="AM49">
        <v>1.32E-3</v>
      </c>
      <c r="AN49">
        <v>0.66269999999999996</v>
      </c>
      <c r="AO49">
        <v>0.66500000000000004</v>
      </c>
      <c r="AP49">
        <v>3.3800000000000002E-3</v>
      </c>
      <c r="AQ49">
        <v>0.95199999999999996</v>
      </c>
      <c r="AR49">
        <v>1</v>
      </c>
      <c r="AS49" s="14"/>
    </row>
    <row r="50" spans="1:45" x14ac:dyDescent="0.25">
      <c r="A50" s="14"/>
      <c r="B50" t="s">
        <v>17</v>
      </c>
      <c r="C50">
        <v>-0.12590000000000001</v>
      </c>
      <c r="D50">
        <v>-0.12587200000000001</v>
      </c>
      <c r="E50">
        <v>7.4325099999999998E-5</v>
      </c>
      <c r="F50">
        <v>5.8430000000000001E-3</v>
      </c>
      <c r="G50">
        <v>5.7910000000000001E-3</v>
      </c>
      <c r="H50">
        <v>-8.9574819999999993E-3</v>
      </c>
      <c r="I50">
        <v>-5.9013399999999997E-4</v>
      </c>
      <c r="J50">
        <v>0.95078299779999997</v>
      </c>
      <c r="K50">
        <v>1</v>
      </c>
      <c r="M50" t="s">
        <v>17</v>
      </c>
      <c r="N50">
        <v>-0.1255</v>
      </c>
      <c r="O50">
        <v>-0.12547800000000001</v>
      </c>
      <c r="P50">
        <v>-1.3317E-5</v>
      </c>
      <c r="Q50">
        <v>5.8910000000000004E-3</v>
      </c>
      <c r="R50">
        <v>5.8019999999999999E-3</v>
      </c>
      <c r="S50">
        <v>-1.5137146000000001E-2</v>
      </c>
      <c r="T50">
        <v>1.061404E-4</v>
      </c>
      <c r="U50">
        <v>0.94831460670000001</v>
      </c>
      <c r="V50">
        <v>1</v>
      </c>
      <c r="X50" t="s">
        <v>17</v>
      </c>
      <c r="Y50">
        <v>5.87</v>
      </c>
      <c r="Z50">
        <v>5.8685999999999998</v>
      </c>
      <c r="AA50">
        <v>4.1899999999999999E-4</v>
      </c>
      <c r="AB50">
        <v>7.1000000000000005E-5</v>
      </c>
      <c r="AC50">
        <v>3.2399999999999998E-2</v>
      </c>
      <c r="AD50">
        <v>3.4500000000000003E-2</v>
      </c>
      <c r="AE50">
        <v>6.5166000000000002E-2</v>
      </c>
      <c r="AF50">
        <v>0.96299999999999997</v>
      </c>
      <c r="AG50">
        <v>1</v>
      </c>
      <c r="AI50" t="s">
        <v>17</v>
      </c>
      <c r="AJ50">
        <v>5.86</v>
      </c>
      <c r="AK50">
        <v>5.8468</v>
      </c>
      <c r="AL50">
        <v>-1.762E-2</v>
      </c>
      <c r="AM50">
        <v>-3.0100000000000001E-3</v>
      </c>
      <c r="AN50">
        <v>3.0300000000000001E-2</v>
      </c>
      <c r="AO50">
        <v>3.27E-2</v>
      </c>
      <c r="AP50">
        <v>8.0744999999999997E-2</v>
      </c>
      <c r="AQ50">
        <v>0.94</v>
      </c>
      <c r="AR50">
        <v>1</v>
      </c>
      <c r="AS50" s="14"/>
    </row>
    <row r="51" spans="1:45" x14ac:dyDescent="0.25">
      <c r="A51" s="14"/>
      <c r="B51" t="s">
        <v>18</v>
      </c>
      <c r="C51">
        <v>-6.9999999999999999E-4</v>
      </c>
      <c r="D51">
        <v>-9.7199999999999999E-4</v>
      </c>
      <c r="E51">
        <v>-2.6439600000000002E-4</v>
      </c>
      <c r="F51">
        <v>3.0460000000000001E-3</v>
      </c>
      <c r="G51">
        <v>2.9069999999999999E-3</v>
      </c>
      <c r="H51">
        <v>-4.5624357999999997E-2</v>
      </c>
      <c r="I51">
        <v>0.37359274469999998</v>
      </c>
      <c r="J51">
        <v>0.9362416107</v>
      </c>
      <c r="K51">
        <v>6.5995525700000002E-2</v>
      </c>
      <c r="M51" t="s">
        <v>18</v>
      </c>
      <c r="N51">
        <v>-1.1999999999999999E-3</v>
      </c>
      <c r="O51">
        <v>-1.3979999999999999E-3</v>
      </c>
      <c r="P51">
        <v>-2.0611300000000001E-4</v>
      </c>
      <c r="Q51">
        <v>3.0469999999999998E-3</v>
      </c>
      <c r="R51">
        <v>2.8800000000000002E-3</v>
      </c>
      <c r="S51">
        <v>-5.5008869000000002E-2</v>
      </c>
      <c r="T51">
        <v>0.17286074169999999</v>
      </c>
      <c r="U51">
        <v>0.94494382020000001</v>
      </c>
      <c r="V51">
        <v>8.7640449400000001E-2</v>
      </c>
      <c r="X51" t="s">
        <v>18</v>
      </c>
      <c r="Y51">
        <v>0.03</v>
      </c>
      <c r="Z51">
        <v>3.1099999999999999E-2</v>
      </c>
      <c r="AA51">
        <v>2.7070000000000002E-3</v>
      </c>
      <c r="AB51">
        <v>9.5274999999999999E-2</v>
      </c>
      <c r="AC51">
        <v>2.2700000000000001E-2</v>
      </c>
      <c r="AD51">
        <v>2.3E-2</v>
      </c>
      <c r="AE51">
        <v>1.5121000000000001E-2</v>
      </c>
      <c r="AF51">
        <v>0.94699999999999995</v>
      </c>
      <c r="AG51">
        <v>0.27100000000000002</v>
      </c>
      <c r="AI51" t="s">
        <v>18</v>
      </c>
      <c r="AJ51">
        <v>0.03</v>
      </c>
      <c r="AK51">
        <v>5.1799999999999999E-2</v>
      </c>
      <c r="AL51">
        <v>1.9689999999999999E-2</v>
      </c>
      <c r="AM51">
        <v>0.61328000000000005</v>
      </c>
      <c r="AN51">
        <v>1.9599999999999999E-2</v>
      </c>
      <c r="AO51">
        <v>2.01E-2</v>
      </c>
      <c r="AP51">
        <v>2.4889999999999999E-2</v>
      </c>
      <c r="AQ51">
        <v>0.83599999999999997</v>
      </c>
      <c r="AR51">
        <v>0.73499999999999999</v>
      </c>
      <c r="AS51" s="14"/>
    </row>
    <row r="53" spans="1:45" ht="14.45" customHeight="1" x14ac:dyDescent="0.25">
      <c r="A53" s="13" t="s">
        <v>97</v>
      </c>
      <c r="B53" s="1" t="s">
        <v>701</v>
      </c>
      <c r="J53" s="12" t="str">
        <f>INDEX('Method Codes'!$B:$B, MATCH(B53, 'Method Codes'!$I:$I,0))</f>
        <v>IND</v>
      </c>
      <c r="K53" s="12" t="str">
        <f>INDEX('Method Codes'!H:H, MATCH(B53, 'Method Codes'!I:I,0))</f>
        <v>5J</v>
      </c>
      <c r="M53" s="1" t="s">
        <v>702</v>
      </c>
      <c r="U53" s="12" t="str">
        <f>INDEX('Method Codes'!$B:$B, MATCH(M53, 'Method Codes'!$I:$I,0))</f>
        <v>EXCH</v>
      </c>
      <c r="V53" s="12" t="str">
        <f>INDEX('Method Codes'!$H:$H, MATCH(M53, 'Method Codes'!$I:$I,0))</f>
        <v>5J</v>
      </c>
      <c r="X53" s="1" t="s">
        <v>703</v>
      </c>
      <c r="AI53" s="1" t="s">
        <v>704</v>
      </c>
      <c r="AS53" s="13" t="s">
        <v>118</v>
      </c>
    </row>
    <row r="54" spans="1:45" x14ac:dyDescent="0.25">
      <c r="A54" s="14"/>
      <c r="B54" t="s">
        <v>2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  <c r="J54" t="s">
        <v>10</v>
      </c>
      <c r="K54" t="s">
        <v>11</v>
      </c>
      <c r="M54" t="s">
        <v>2</v>
      </c>
      <c r="N54" t="s">
        <v>3</v>
      </c>
      <c r="O54" t="s">
        <v>4</v>
      </c>
      <c r="P54" t="s">
        <v>5</v>
      </c>
      <c r="Q54" t="s">
        <v>6</v>
      </c>
      <c r="R54" t="s">
        <v>7</v>
      </c>
      <c r="S54" t="s">
        <v>8</v>
      </c>
      <c r="T54" t="s">
        <v>9</v>
      </c>
      <c r="U54" t="s">
        <v>10</v>
      </c>
      <c r="V54" t="s">
        <v>11</v>
      </c>
      <c r="X54" t="s">
        <v>2</v>
      </c>
      <c r="Y54" t="s">
        <v>3</v>
      </c>
      <c r="Z54" t="s">
        <v>4</v>
      </c>
      <c r="AA54" t="s">
        <v>5</v>
      </c>
      <c r="AB54" t="s">
        <v>6</v>
      </c>
      <c r="AC54" t="s">
        <v>7</v>
      </c>
      <c r="AD54" t="s">
        <v>8</v>
      </c>
      <c r="AE54" t="s">
        <v>9</v>
      </c>
      <c r="AF54" t="s">
        <v>10</v>
      </c>
      <c r="AG54" t="s">
        <v>11</v>
      </c>
      <c r="AI54" t="s">
        <v>2</v>
      </c>
      <c r="AJ54" t="s">
        <v>3</v>
      </c>
      <c r="AK54" t="s">
        <v>4</v>
      </c>
      <c r="AL54" t="s">
        <v>5</v>
      </c>
      <c r="AM54" t="s">
        <v>6</v>
      </c>
      <c r="AN54" t="s">
        <v>7</v>
      </c>
      <c r="AO54" t="s">
        <v>8</v>
      </c>
      <c r="AP54" t="s">
        <v>9</v>
      </c>
      <c r="AQ54" t="s">
        <v>10</v>
      </c>
      <c r="AR54" t="s">
        <v>11</v>
      </c>
      <c r="AS54" s="14"/>
    </row>
    <row r="55" spans="1:45" x14ac:dyDescent="0.25">
      <c r="A55" s="14"/>
      <c r="B55" t="s">
        <v>12</v>
      </c>
      <c r="C55" cm="1">
        <f t="array" ref="C55:K61">_xlfn.LET(
_xlpm.keyA, J53,
_xlpm.keyB, K53,
_xlpm.rowKeys, B55:B61,
_xlpm.colKeys, C54:K54,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55">
        <v>3.2220650000000002</v>
      </c>
      <c r="E55">
        <v>8.6674221400000001E-2</v>
      </c>
      <c r="F55">
        <v>0.19888400000000001</v>
      </c>
      <c r="G55">
        <v>0.20352500000000001</v>
      </c>
      <c r="H55">
        <v>2.3339973399999998E-2</v>
      </c>
      <c r="I55">
        <v>2.7643831600000002E-2</v>
      </c>
      <c r="J55">
        <v>0.93409090910000003</v>
      </c>
      <c r="K55">
        <v>0</v>
      </c>
      <c r="M55" t="s">
        <v>12</v>
      </c>
      <c r="N55" cm="1">
        <f t="array" ref="N55:V61">_xlfn.LET(
_xlpm.keyA, U53,
_xlpm.keyB, V53,
_xlpm.rowKeys, M55:M61,
_xlpm.colKeys, N54:V54,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55">
        <v>3.2630379999999999</v>
      </c>
      <c r="P55">
        <v>0.1091494947</v>
      </c>
      <c r="Q55">
        <v>0.208569</v>
      </c>
      <c r="R55">
        <v>0.21493499999999999</v>
      </c>
      <c r="S55">
        <v>3.05246448E-2</v>
      </c>
      <c r="T55">
        <v>3.4607915699999998E-2</v>
      </c>
      <c r="U55">
        <v>0.92500000000000004</v>
      </c>
      <c r="V55">
        <v>0</v>
      </c>
      <c r="X55" t="s">
        <v>12</v>
      </c>
      <c r="Y55">
        <v>107.08</v>
      </c>
      <c r="Z55">
        <v>104.008786</v>
      </c>
      <c r="AA55">
        <v>-3.0686200000000001</v>
      </c>
      <c r="AB55">
        <v>-2.8660000000000001E-2</v>
      </c>
      <c r="AC55">
        <v>1.3736109999999999</v>
      </c>
      <c r="AD55">
        <v>1.461338</v>
      </c>
      <c r="AE55">
        <v>6.3869999999999996E-2</v>
      </c>
      <c r="AF55">
        <v>0.45500000000000002</v>
      </c>
      <c r="AG55">
        <v>0</v>
      </c>
      <c r="AI55" t="s">
        <v>12</v>
      </c>
      <c r="AJ55">
        <v>106.81</v>
      </c>
      <c r="AK55">
        <v>101.41365399999999</v>
      </c>
      <c r="AL55">
        <v>-5.3987999999999996</v>
      </c>
      <c r="AM55">
        <v>-5.0540000000000002E-2</v>
      </c>
      <c r="AN55">
        <v>1.497063</v>
      </c>
      <c r="AO55">
        <v>1.6885680000000001</v>
      </c>
      <c r="AP55">
        <v>0.12792000000000001</v>
      </c>
      <c r="AQ55">
        <v>0.08</v>
      </c>
      <c r="AR55">
        <v>0</v>
      </c>
      <c r="AS55" s="14"/>
    </row>
    <row r="56" spans="1:45" x14ac:dyDescent="0.25">
      <c r="A56" s="14"/>
      <c r="B56" t="s">
        <v>13</v>
      </c>
      <c r="C56">
        <v>-0.44119999999999998</v>
      </c>
      <c r="D56">
        <v>-0.46556799999999998</v>
      </c>
      <c r="E56">
        <v>-2.4361904E-2</v>
      </c>
      <c r="F56">
        <v>7.2336999999999999E-2</v>
      </c>
      <c r="G56">
        <v>7.3710999999999999E-2</v>
      </c>
      <c r="H56">
        <v>1.89847907E-2</v>
      </c>
      <c r="I56">
        <v>5.5216584200000002E-2</v>
      </c>
      <c r="J56">
        <v>0.94318181820000002</v>
      </c>
      <c r="K56">
        <v>0</v>
      </c>
      <c r="M56" t="s">
        <v>13</v>
      </c>
      <c r="N56">
        <v>-0.434</v>
      </c>
      <c r="O56">
        <v>-0.45508900000000002</v>
      </c>
      <c r="P56">
        <v>-2.1129081000000001E-2</v>
      </c>
      <c r="Q56">
        <v>7.4403999999999998E-2</v>
      </c>
      <c r="R56">
        <v>7.6574000000000003E-2</v>
      </c>
      <c r="S56">
        <v>2.9167425E-2</v>
      </c>
      <c r="T56">
        <v>4.86890029E-2</v>
      </c>
      <c r="U56">
        <v>0.94772727270000001</v>
      </c>
      <c r="V56">
        <v>0</v>
      </c>
      <c r="X56" t="s">
        <v>13</v>
      </c>
      <c r="Y56">
        <v>-4.7699999999999996</v>
      </c>
      <c r="Z56">
        <v>-4.8235640000000002</v>
      </c>
      <c r="AA56">
        <v>-5.4919999999999997E-2</v>
      </c>
      <c r="AB56">
        <v>1.1520000000000001E-2</v>
      </c>
      <c r="AC56">
        <v>0.52173400000000003</v>
      </c>
      <c r="AD56">
        <v>0.55669100000000005</v>
      </c>
      <c r="AE56">
        <v>6.7000000000000004E-2</v>
      </c>
      <c r="AF56">
        <v>0.96699999999999997</v>
      </c>
      <c r="AG56">
        <v>0</v>
      </c>
      <c r="AI56" t="s">
        <v>13</v>
      </c>
      <c r="AJ56">
        <v>-4.8</v>
      </c>
      <c r="AK56">
        <v>-5.0313210000000002</v>
      </c>
      <c r="AL56">
        <v>-0.23204</v>
      </c>
      <c r="AM56">
        <v>4.8349999999999997E-2</v>
      </c>
      <c r="AN56">
        <v>0.58064499999999997</v>
      </c>
      <c r="AO56">
        <v>0.62848099999999996</v>
      </c>
      <c r="AP56">
        <v>8.2379999999999995E-2</v>
      </c>
      <c r="AQ56">
        <v>0.95499999999999996</v>
      </c>
      <c r="AR56">
        <v>0</v>
      </c>
      <c r="AS56" s="14"/>
    </row>
    <row r="57" spans="1:45" x14ac:dyDescent="0.25">
      <c r="A57" s="14"/>
      <c r="B57" t="s">
        <v>14</v>
      </c>
      <c r="C57">
        <v>-7.3000000000000001E-3</v>
      </c>
      <c r="D57">
        <v>-1.6275999999999999E-2</v>
      </c>
      <c r="E57">
        <v>-8.9622669999999995E-3</v>
      </c>
      <c r="F57">
        <v>3.7881999999999999E-2</v>
      </c>
      <c r="G57">
        <v>4.4073000000000001E-2</v>
      </c>
      <c r="H57">
        <v>0.16343137669999999</v>
      </c>
      <c r="I57">
        <v>1.2253629622</v>
      </c>
      <c r="J57">
        <v>0.97386363639999995</v>
      </c>
      <c r="K57">
        <v>0</v>
      </c>
      <c r="M57" t="s">
        <v>14</v>
      </c>
      <c r="N57">
        <v>-7.6E-3</v>
      </c>
      <c r="O57">
        <v>-1.6574999999999999E-2</v>
      </c>
      <c r="P57">
        <v>-8.9574149999999998E-3</v>
      </c>
      <c r="Q57">
        <v>3.8827E-2</v>
      </c>
      <c r="R57">
        <v>4.5296000000000003E-2</v>
      </c>
      <c r="S57">
        <v>0.1666127503</v>
      </c>
      <c r="T57">
        <v>1.1758206683000001</v>
      </c>
      <c r="U57">
        <v>0.9761363636</v>
      </c>
      <c r="V57">
        <v>0</v>
      </c>
      <c r="X57" t="s">
        <v>14</v>
      </c>
      <c r="Y57">
        <v>8.6999999999999993</v>
      </c>
      <c r="Z57">
        <v>10.655161</v>
      </c>
      <c r="AA57">
        <v>1.9584600000000001</v>
      </c>
      <c r="AB57">
        <v>0.22520000000000001</v>
      </c>
      <c r="AC57">
        <v>0.33167600000000003</v>
      </c>
      <c r="AD57">
        <v>0.32644099999999998</v>
      </c>
      <c r="AE57">
        <v>-1.5779999999999999E-2</v>
      </c>
      <c r="AF57">
        <v>0</v>
      </c>
      <c r="AG57">
        <v>0</v>
      </c>
      <c r="AI57" t="s">
        <v>14</v>
      </c>
      <c r="AJ57">
        <v>8.6999999999999993</v>
      </c>
      <c r="AK57">
        <v>11.689633000000001</v>
      </c>
      <c r="AL57">
        <v>2.9874299999999998</v>
      </c>
      <c r="AM57">
        <v>0.34329999999999999</v>
      </c>
      <c r="AN57">
        <v>0.38594699999999998</v>
      </c>
      <c r="AO57">
        <v>0.364672</v>
      </c>
      <c r="AP57">
        <v>-5.5120000000000002E-2</v>
      </c>
      <c r="AQ57">
        <v>0</v>
      </c>
      <c r="AR57">
        <v>0</v>
      </c>
      <c r="AS57" s="14"/>
    </row>
    <row r="58" spans="1:45" x14ac:dyDescent="0.25">
      <c r="A58" s="14"/>
      <c r="B58" t="s">
        <v>15</v>
      </c>
      <c r="C58">
        <v>-0.45419999999999999</v>
      </c>
      <c r="D58">
        <v>-0.481819</v>
      </c>
      <c r="E58">
        <v>-2.7631307000000001E-2</v>
      </c>
      <c r="F58">
        <v>4.8259000000000003E-2</v>
      </c>
      <c r="G58">
        <v>4.8680000000000001E-2</v>
      </c>
      <c r="H58">
        <v>8.7279929999999999E-3</v>
      </c>
      <c r="I58">
        <v>6.0836710699999998E-2</v>
      </c>
      <c r="J58">
        <v>0.90454545450000001</v>
      </c>
      <c r="K58">
        <v>0</v>
      </c>
      <c r="M58" t="s">
        <v>15</v>
      </c>
      <c r="N58">
        <v>-0.4551</v>
      </c>
      <c r="O58">
        <v>-0.49199900000000002</v>
      </c>
      <c r="P58">
        <v>-3.6866640999999999E-2</v>
      </c>
      <c r="Q58">
        <v>5.0812000000000003E-2</v>
      </c>
      <c r="R58">
        <v>5.1672999999999997E-2</v>
      </c>
      <c r="S58">
        <v>1.6953756100000002E-2</v>
      </c>
      <c r="T58">
        <v>8.1002103800000003E-2</v>
      </c>
      <c r="U58">
        <v>0.89090909090000003</v>
      </c>
      <c r="V58">
        <v>0</v>
      </c>
      <c r="X58" t="s">
        <v>15</v>
      </c>
      <c r="Y58">
        <v>-1.61</v>
      </c>
      <c r="Z58">
        <v>-1.024181</v>
      </c>
      <c r="AA58">
        <v>0.58611000000000002</v>
      </c>
      <c r="AB58">
        <v>-0.36398000000000003</v>
      </c>
      <c r="AC58">
        <v>0.332424</v>
      </c>
      <c r="AD58">
        <v>0.35381099999999999</v>
      </c>
      <c r="AE58">
        <v>6.4339999999999994E-2</v>
      </c>
      <c r="AF58">
        <v>0.626</v>
      </c>
      <c r="AG58">
        <v>0</v>
      </c>
      <c r="AI58" t="s">
        <v>15</v>
      </c>
      <c r="AJ58">
        <v>-1.58</v>
      </c>
      <c r="AK58">
        <v>-0.65808199999999994</v>
      </c>
      <c r="AL58">
        <v>0.92254000000000003</v>
      </c>
      <c r="AM58">
        <v>-0.58365999999999996</v>
      </c>
      <c r="AN58">
        <v>0.373056</v>
      </c>
      <c r="AO58">
        <v>0.41852800000000001</v>
      </c>
      <c r="AP58">
        <v>0.12189</v>
      </c>
      <c r="AQ58">
        <v>0.39700000000000002</v>
      </c>
      <c r="AR58">
        <v>0</v>
      </c>
      <c r="AS58" s="14"/>
    </row>
    <row r="59" spans="1:45" x14ac:dyDescent="0.25">
      <c r="A59" s="14"/>
      <c r="B59" t="s">
        <v>16</v>
      </c>
      <c r="C59">
        <v>-8.2500000000000004E-2</v>
      </c>
      <c r="D59">
        <v>-6.5939999999999999E-2</v>
      </c>
      <c r="E59">
        <v>1.6602803100000001E-2</v>
      </c>
      <c r="F59">
        <v>5.1076000000000003E-2</v>
      </c>
      <c r="G59">
        <v>5.4841000000000001E-2</v>
      </c>
      <c r="H59">
        <v>7.3717586500000001E-2</v>
      </c>
      <c r="I59">
        <v>-0.20114269100000001</v>
      </c>
      <c r="J59">
        <v>0.95</v>
      </c>
      <c r="K59">
        <v>0</v>
      </c>
      <c r="M59" t="s">
        <v>16</v>
      </c>
      <c r="N59">
        <v>-8.0399999999999999E-2</v>
      </c>
      <c r="O59">
        <v>-5.8507999999999998E-2</v>
      </c>
      <c r="P59">
        <v>2.1898200699999999E-2</v>
      </c>
      <c r="Q59">
        <v>5.2026999999999997E-2</v>
      </c>
      <c r="R59">
        <v>5.6408E-2</v>
      </c>
      <c r="S59">
        <v>8.4205221499999997E-2</v>
      </c>
      <c r="T59">
        <v>-0.27234354599999999</v>
      </c>
      <c r="U59">
        <v>0.94886363640000004</v>
      </c>
      <c r="V59">
        <v>0</v>
      </c>
      <c r="X59" t="s">
        <v>16</v>
      </c>
      <c r="Y59">
        <v>-7.92</v>
      </c>
      <c r="Z59">
        <v>-9.6268019999999996</v>
      </c>
      <c r="AA59">
        <v>-1.71163</v>
      </c>
      <c r="AB59">
        <v>0.21625</v>
      </c>
      <c r="AC59">
        <v>0.38893</v>
      </c>
      <c r="AD59">
        <v>0.398038</v>
      </c>
      <c r="AE59">
        <v>2.342E-2</v>
      </c>
      <c r="AF59">
        <v>8.0000000000000002E-3</v>
      </c>
      <c r="AG59">
        <v>0</v>
      </c>
      <c r="AI59" t="s">
        <v>16</v>
      </c>
      <c r="AJ59">
        <v>-7.78</v>
      </c>
      <c r="AK59">
        <v>-10.39542</v>
      </c>
      <c r="AL59">
        <v>-2.6189900000000002</v>
      </c>
      <c r="AM59">
        <v>0.33678999999999998</v>
      </c>
      <c r="AN59">
        <v>0.45177600000000001</v>
      </c>
      <c r="AO59">
        <v>0.44481900000000002</v>
      </c>
      <c r="AP59">
        <v>-1.54E-2</v>
      </c>
      <c r="AQ59">
        <v>0</v>
      </c>
      <c r="AR59">
        <v>0</v>
      </c>
      <c r="AS59" s="14"/>
    </row>
    <row r="60" spans="1:45" x14ac:dyDescent="0.25">
      <c r="A60" s="14"/>
      <c r="B60" t="s">
        <v>17</v>
      </c>
      <c r="C60">
        <v>-0.12590000000000001</v>
      </c>
      <c r="D60">
        <v>-0.12783800000000001</v>
      </c>
      <c r="E60">
        <v>-1.8915430000000001E-3</v>
      </c>
      <c r="F60">
        <v>4.8469999999999997E-3</v>
      </c>
      <c r="G60">
        <v>4.9760000000000004E-3</v>
      </c>
      <c r="H60">
        <v>2.6580890900000001E-2</v>
      </c>
      <c r="I60">
        <v>1.50186456E-2</v>
      </c>
      <c r="J60">
        <v>0.95568181819999998</v>
      </c>
      <c r="K60">
        <v>0</v>
      </c>
      <c r="M60" t="s">
        <v>17</v>
      </c>
      <c r="N60">
        <v>-0.1255</v>
      </c>
      <c r="O60">
        <v>-0.126522</v>
      </c>
      <c r="P60">
        <v>-1.0569329999999999E-3</v>
      </c>
      <c r="Q60">
        <v>4.8679999999999999E-3</v>
      </c>
      <c r="R60">
        <v>5.0010000000000002E-3</v>
      </c>
      <c r="S60">
        <v>2.74163441E-2</v>
      </c>
      <c r="T60">
        <v>8.4241465999999997E-3</v>
      </c>
      <c r="U60">
        <v>0.97272727270000003</v>
      </c>
      <c r="V60">
        <v>0</v>
      </c>
      <c r="X60" t="s">
        <v>17</v>
      </c>
      <c r="Y60">
        <v>5.87</v>
      </c>
      <c r="Z60">
        <v>5.7925810000000002</v>
      </c>
      <c r="AA60">
        <v>-7.5560000000000002E-2</v>
      </c>
      <c r="AB60">
        <v>-1.2880000000000001E-2</v>
      </c>
      <c r="AC60">
        <v>2.6415000000000001E-2</v>
      </c>
      <c r="AD60">
        <v>2.7498999999999999E-2</v>
      </c>
      <c r="AE60">
        <v>4.1020000000000001E-2</v>
      </c>
      <c r="AF60">
        <v>0.23599999999999999</v>
      </c>
      <c r="AG60">
        <v>0</v>
      </c>
      <c r="AI60" t="s">
        <v>17</v>
      </c>
      <c r="AJ60">
        <v>5.86</v>
      </c>
      <c r="AK60">
        <v>5.8154919999999999</v>
      </c>
      <c r="AL60">
        <v>-4.8919999999999998E-2</v>
      </c>
      <c r="AM60">
        <v>-8.3400000000000002E-3</v>
      </c>
      <c r="AN60">
        <v>2.3377999999999999E-2</v>
      </c>
      <c r="AO60">
        <v>2.4733999999999999E-2</v>
      </c>
      <c r="AP60">
        <v>5.7979999999999997E-2</v>
      </c>
      <c r="AQ60">
        <v>0.497</v>
      </c>
      <c r="AR60">
        <v>0</v>
      </c>
      <c r="AS60" s="14"/>
    </row>
    <row r="61" spans="1:45" x14ac:dyDescent="0.25">
      <c r="A61" s="14"/>
      <c r="B61" t="s">
        <v>18</v>
      </c>
      <c r="C61">
        <v>-6.9999999999999999E-4</v>
      </c>
      <c r="D61">
        <v>-2.5599999999999999E-4</v>
      </c>
      <c r="E61">
        <v>4.5194940000000002E-4</v>
      </c>
      <c r="F61">
        <v>2.408E-3</v>
      </c>
      <c r="G61">
        <v>2.594E-3</v>
      </c>
      <c r="H61">
        <v>7.7494969499999997E-2</v>
      </c>
      <c r="I61">
        <v>-0.63860683500000004</v>
      </c>
      <c r="J61">
        <v>0.96250000000000002</v>
      </c>
      <c r="K61">
        <v>0</v>
      </c>
      <c r="M61" t="s">
        <v>18</v>
      </c>
      <c r="N61">
        <v>-1.1999999999999999E-3</v>
      </c>
      <c r="O61">
        <v>-6.4400000000000004E-4</v>
      </c>
      <c r="P61">
        <v>5.4817440000000004E-4</v>
      </c>
      <c r="Q61">
        <v>2.4009999999999999E-3</v>
      </c>
      <c r="R61">
        <v>2.6099999999999999E-3</v>
      </c>
      <c r="S61">
        <v>8.7264345600000001E-2</v>
      </c>
      <c r="T61">
        <v>-0.45973698899999998</v>
      </c>
      <c r="U61">
        <v>0.96250000000000002</v>
      </c>
      <c r="V61">
        <v>0</v>
      </c>
      <c r="X61" t="s">
        <v>18</v>
      </c>
      <c r="Y61">
        <v>0.03</v>
      </c>
      <c r="Z61">
        <v>2.521E-2</v>
      </c>
      <c r="AA61">
        <v>-3.2100000000000002E-3</v>
      </c>
      <c r="AB61">
        <v>-0.11285000000000001</v>
      </c>
      <c r="AC61">
        <v>1.6829E-2</v>
      </c>
      <c r="AD61">
        <v>1.8624000000000002E-2</v>
      </c>
      <c r="AE61">
        <v>0.10664</v>
      </c>
      <c r="AF61">
        <v>0.96899999999999997</v>
      </c>
      <c r="AG61">
        <v>0</v>
      </c>
      <c r="AI61" t="s">
        <v>18</v>
      </c>
      <c r="AJ61">
        <v>0.03</v>
      </c>
      <c r="AK61">
        <v>3.2293000000000002E-2</v>
      </c>
      <c r="AL61">
        <v>1.9000000000000001E-4</v>
      </c>
      <c r="AM61">
        <v>5.7600000000000004E-3</v>
      </c>
      <c r="AN61">
        <v>1.4694E-2</v>
      </c>
      <c r="AO61">
        <v>1.6961E-2</v>
      </c>
      <c r="AP61">
        <v>0.15429000000000001</v>
      </c>
      <c r="AQ61">
        <v>0.97499999999999998</v>
      </c>
      <c r="AR61">
        <v>0</v>
      </c>
      <c r="AS61" s="14"/>
    </row>
    <row r="63" spans="1:45" ht="14.45" customHeight="1" x14ac:dyDescent="0.25">
      <c r="A63" s="13" t="s">
        <v>98</v>
      </c>
      <c r="B63" s="1" t="s">
        <v>705</v>
      </c>
      <c r="J63" s="12" t="str">
        <f>INDEX('Method Codes'!$B:$B, MATCH(B63, 'Method Codes'!$I:$I,0))</f>
        <v>IND</v>
      </c>
      <c r="K63" s="12" t="str">
        <f>INDEX('Method Codes'!H:H, MATCH(B63, 'Method Codes'!I:I,0))</f>
        <v>6S</v>
      </c>
      <c r="M63" s="1" t="s">
        <v>706</v>
      </c>
      <c r="U63" s="12" t="str">
        <f>INDEX('Method Codes'!$B:$B, MATCH(M63, 'Method Codes'!$I:$I,0))</f>
        <v>EXCH</v>
      </c>
      <c r="V63" s="12" t="str">
        <f>INDEX('Method Codes'!$H:$H, MATCH(M63, 'Method Codes'!$I:$I,0))</f>
        <v>6S</v>
      </c>
      <c r="X63" s="1" t="s">
        <v>707</v>
      </c>
      <c r="AI63" s="1" t="s">
        <v>708</v>
      </c>
      <c r="AS63" s="13" t="s">
        <v>119</v>
      </c>
    </row>
    <row r="64" spans="1:45" x14ac:dyDescent="0.25">
      <c r="A64" s="14"/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M64" t="s">
        <v>2</v>
      </c>
      <c r="N64" t="s">
        <v>3</v>
      </c>
      <c r="O64" t="s">
        <v>4</v>
      </c>
      <c r="P64" t="s">
        <v>5</v>
      </c>
      <c r="Q64" t="s">
        <v>6</v>
      </c>
      <c r="R64" t="s">
        <v>7</v>
      </c>
      <c r="S64" t="s">
        <v>8</v>
      </c>
      <c r="T64" t="s">
        <v>9</v>
      </c>
      <c r="U64" t="s">
        <v>10</v>
      </c>
      <c r="V64" t="s">
        <v>11</v>
      </c>
      <c r="X64" t="s">
        <v>2</v>
      </c>
      <c r="Y64" t="s">
        <v>3</v>
      </c>
      <c r="Z64" t="s">
        <v>4</v>
      </c>
      <c r="AA64" t="s">
        <v>5</v>
      </c>
      <c r="AB64" t="s">
        <v>6</v>
      </c>
      <c r="AC64" t="s">
        <v>7</v>
      </c>
      <c r="AD64" t="s">
        <v>8</v>
      </c>
      <c r="AE64" t="s">
        <v>9</v>
      </c>
      <c r="AF64" t="s">
        <v>10</v>
      </c>
      <c r="AG64" t="s">
        <v>11</v>
      </c>
      <c r="AI64" t="s">
        <v>2</v>
      </c>
      <c r="AJ64" t="s">
        <v>3</v>
      </c>
      <c r="AK64" t="s">
        <v>4</v>
      </c>
      <c r="AL64" t="s">
        <v>5</v>
      </c>
      <c r="AM64" t="s">
        <v>6</v>
      </c>
      <c r="AN64" t="s">
        <v>7</v>
      </c>
      <c r="AO64" t="s">
        <v>8</v>
      </c>
      <c r="AP64" t="s">
        <v>9</v>
      </c>
      <c r="AQ64" t="s">
        <v>10</v>
      </c>
      <c r="AR64" t="s">
        <v>11</v>
      </c>
      <c r="AS64" s="14"/>
    </row>
    <row r="65" spans="1:45" x14ac:dyDescent="0.25">
      <c r="A65" s="14"/>
      <c r="B65" t="s">
        <v>12</v>
      </c>
      <c r="C65" cm="1">
        <f t="array" ref="C65:K71">_xlfn.LET(
_xlpm.keyA, J63,
_xlpm.keyB, K63,
_xlpm.rowKeys, B65:B71,
_xlpm.colKeys, C64:K64,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3.1354000000000002</v>
      </c>
      <c r="D65">
        <v>3.1335540000000002</v>
      </c>
      <c r="E65">
        <v>-1.836917E-3</v>
      </c>
      <c r="F65">
        <v>0.20314099999999999</v>
      </c>
      <c r="G65">
        <v>0.19259000000000001</v>
      </c>
      <c r="H65">
        <v>-5.1940703999999997E-2</v>
      </c>
      <c r="I65">
        <v>-5.8586499999999998E-4</v>
      </c>
      <c r="J65">
        <v>0.93977272730000005</v>
      </c>
      <c r="K65">
        <v>1</v>
      </c>
      <c r="M65" t="s">
        <v>12</v>
      </c>
      <c r="N65" cm="1">
        <f t="array" ref="N65:V71">_xlfn.LET(
_xlpm.keyA, U63,
_xlpm.keyB, V63,
_xlpm.rowKeys, M65:M71,
_xlpm.colKeys, N64:V64,
_xlpm.data, 'Batch Output'!$C:$Z,
_xlpm.rowMatch, _xlfn.XMATCH(_xlpm.rowKeys, 'Batch Output'!$C:$C),
_xlpm.colMatch, _xlfn.XMATCH(_xlpm.colKeys, 'Batch Output'!$1:$1),
_xlpm.batchMatchRows, _xlfn._xlws.FILTER(ROW('Batch Output'!$A:$A), ('Batch Output'!$A:$A=_xlpm.keyA)*('Batch Output'!$B:$B=_xlpm.keyB)),
_xlpm.firstMatchRow, INDEX(_xlpm.batchMatchRows, 1),
INDEX(_xlpm.data, _xlpm.rowMatch + _xlpm.firstMatchRow - 2, _xlpm.colMatch - 2)
)</f>
        <v>3.1539000000000001</v>
      </c>
      <c r="O65">
        <v>3.173743</v>
      </c>
      <c r="P65">
        <v>1.9854816800000001E-2</v>
      </c>
      <c r="Q65">
        <v>0.212198</v>
      </c>
      <c r="R65">
        <v>0.20144100000000001</v>
      </c>
      <c r="S65">
        <v>-5.0689948999999998E-2</v>
      </c>
      <c r="T65">
        <v>6.2953458999999998E-3</v>
      </c>
      <c r="U65">
        <v>0.93181818179999998</v>
      </c>
      <c r="V65">
        <v>1</v>
      </c>
      <c r="X65" t="s">
        <v>12</v>
      </c>
      <c r="Y65">
        <v>107.08</v>
      </c>
      <c r="Z65">
        <v>107.0641</v>
      </c>
      <c r="AA65">
        <v>-1.3343000000000001E-2</v>
      </c>
      <c r="AB65">
        <v>-1.25E-4</v>
      </c>
      <c r="AC65">
        <v>1.5533999999999999</v>
      </c>
      <c r="AD65">
        <v>1.5952999999999999</v>
      </c>
      <c r="AE65">
        <v>2.6984000000000001E-2</v>
      </c>
      <c r="AF65">
        <v>0.95699999999999996</v>
      </c>
      <c r="AG65">
        <v>1</v>
      </c>
      <c r="AI65" t="s">
        <v>12</v>
      </c>
      <c r="AJ65">
        <v>106.81</v>
      </c>
      <c r="AK65">
        <v>105.60809999999999</v>
      </c>
      <c r="AL65">
        <v>-1.2043299999999999</v>
      </c>
      <c r="AM65">
        <v>-1.128E-2</v>
      </c>
      <c r="AN65">
        <v>1.7068000000000001</v>
      </c>
      <c r="AO65">
        <v>1.7929999999999999</v>
      </c>
      <c r="AP65">
        <v>5.0486999999999997E-2</v>
      </c>
      <c r="AQ65">
        <v>0.89900000000000002</v>
      </c>
      <c r="AR65">
        <v>1</v>
      </c>
      <c r="AS65" s="14"/>
    </row>
    <row r="66" spans="1:45" x14ac:dyDescent="0.25">
      <c r="A66" s="14"/>
      <c r="B66" t="s">
        <v>13</v>
      </c>
      <c r="C66">
        <v>-0.44119999999999998</v>
      </c>
      <c r="D66">
        <v>-0.44434699999999999</v>
      </c>
      <c r="E66">
        <v>-3.1409749999999998E-3</v>
      </c>
      <c r="F66">
        <v>7.4873999999999996E-2</v>
      </c>
      <c r="G66">
        <v>7.0045999999999997E-2</v>
      </c>
      <c r="H66">
        <v>-6.4486455999999998E-2</v>
      </c>
      <c r="I66">
        <v>7.1190621000000003E-3</v>
      </c>
      <c r="J66">
        <v>0.93181818179999998</v>
      </c>
      <c r="K66">
        <v>1</v>
      </c>
      <c r="M66" t="s">
        <v>13</v>
      </c>
      <c r="N66">
        <v>-0.434</v>
      </c>
      <c r="O66">
        <v>-0.43198599999999998</v>
      </c>
      <c r="P66">
        <v>1.9735714000000001E-3</v>
      </c>
      <c r="Q66">
        <v>7.7126E-2</v>
      </c>
      <c r="R66">
        <v>7.2052000000000005E-2</v>
      </c>
      <c r="S66">
        <v>-6.5783762999999995E-2</v>
      </c>
      <c r="T66">
        <v>-4.5478180000000003E-3</v>
      </c>
      <c r="U66">
        <v>0.92613636359999996</v>
      </c>
      <c r="V66">
        <v>1</v>
      </c>
      <c r="X66" t="s">
        <v>13</v>
      </c>
      <c r="Y66">
        <v>-4.7699999999999996</v>
      </c>
      <c r="Z66">
        <v>-4.7751999999999999</v>
      </c>
      <c r="AA66">
        <v>-6.5640000000000004E-3</v>
      </c>
      <c r="AB66">
        <v>1.3760000000000001E-3</v>
      </c>
      <c r="AC66">
        <v>0.58509999999999995</v>
      </c>
      <c r="AD66">
        <v>0.59430000000000005</v>
      </c>
      <c r="AE66">
        <v>1.5740000000000001E-2</v>
      </c>
      <c r="AF66">
        <v>0.95299999999999996</v>
      </c>
      <c r="AG66">
        <v>1</v>
      </c>
      <c r="AI66" t="s">
        <v>13</v>
      </c>
      <c r="AJ66">
        <v>-4.8</v>
      </c>
      <c r="AK66">
        <v>-4.9154999999999998</v>
      </c>
      <c r="AL66">
        <v>-0.1162</v>
      </c>
      <c r="AM66">
        <v>2.4209999999999999E-2</v>
      </c>
      <c r="AN66">
        <v>0.64170000000000005</v>
      </c>
      <c r="AO66">
        <v>0.65269999999999995</v>
      </c>
      <c r="AP66">
        <v>1.7156000000000001E-2</v>
      </c>
      <c r="AQ66">
        <v>0.94899999999999995</v>
      </c>
      <c r="AR66">
        <v>1</v>
      </c>
      <c r="AS66" s="14"/>
    </row>
    <row r="67" spans="1:45" x14ac:dyDescent="0.25">
      <c r="A67" s="14"/>
      <c r="B67" t="s">
        <v>14</v>
      </c>
      <c r="C67">
        <v>-7.3000000000000001E-3</v>
      </c>
      <c r="D67">
        <v>-8.1919999999999996E-3</v>
      </c>
      <c r="E67">
        <v>-8.7821199999999996E-4</v>
      </c>
      <c r="F67">
        <v>4.1519E-2</v>
      </c>
      <c r="G67">
        <v>4.301E-2</v>
      </c>
      <c r="H67">
        <v>3.59114346E-2</v>
      </c>
      <c r="I67">
        <v>0.1200732246</v>
      </c>
      <c r="J67">
        <v>0.9568181818</v>
      </c>
      <c r="K67">
        <v>4.88636364E-2</v>
      </c>
      <c r="M67" t="s">
        <v>14</v>
      </c>
      <c r="N67">
        <v>-7.6E-3</v>
      </c>
      <c r="O67">
        <v>-8.0239999999999999E-3</v>
      </c>
      <c r="P67">
        <v>-4.0606799999999999E-4</v>
      </c>
      <c r="Q67">
        <v>4.2730999999999998E-2</v>
      </c>
      <c r="R67">
        <v>4.3861999999999998E-2</v>
      </c>
      <c r="S67">
        <v>2.64889684E-2</v>
      </c>
      <c r="T67">
        <v>5.3303734499999998E-2</v>
      </c>
      <c r="U67">
        <v>0.94772727270000001</v>
      </c>
      <c r="V67">
        <v>5.6818181799999999E-2</v>
      </c>
      <c r="X67" t="s">
        <v>14</v>
      </c>
      <c r="Y67">
        <v>8.6999999999999993</v>
      </c>
      <c r="Z67">
        <v>8.7021999999999995</v>
      </c>
      <c r="AA67">
        <v>5.5319999999999996E-3</v>
      </c>
      <c r="AB67">
        <v>6.3599999999999996E-4</v>
      </c>
      <c r="AC67">
        <v>0.35899999999999999</v>
      </c>
      <c r="AD67">
        <v>0.35630000000000001</v>
      </c>
      <c r="AE67">
        <v>-7.5570000000000003E-3</v>
      </c>
      <c r="AF67">
        <v>0.95</v>
      </c>
      <c r="AG67">
        <v>1</v>
      </c>
      <c r="AI67" t="s">
        <v>14</v>
      </c>
      <c r="AJ67">
        <v>8.6999999999999993</v>
      </c>
      <c r="AK67">
        <v>9.1851000000000003</v>
      </c>
      <c r="AL67">
        <v>0.48291000000000001</v>
      </c>
      <c r="AM67">
        <v>5.5489999999999998E-2</v>
      </c>
      <c r="AN67">
        <v>0.38629999999999998</v>
      </c>
      <c r="AO67">
        <v>0.38350000000000001</v>
      </c>
      <c r="AP67">
        <v>-7.293E-3</v>
      </c>
      <c r="AQ67">
        <v>0.751</v>
      </c>
      <c r="AR67">
        <v>1</v>
      </c>
      <c r="AS67" s="14"/>
    </row>
    <row r="68" spans="1:45" x14ac:dyDescent="0.25">
      <c r="A68" s="14"/>
      <c r="B68" t="s">
        <v>15</v>
      </c>
      <c r="C68">
        <v>-0.45419999999999999</v>
      </c>
      <c r="D68">
        <v>-0.45272600000000002</v>
      </c>
      <c r="E68">
        <v>1.4616617E-3</v>
      </c>
      <c r="F68">
        <v>4.7819E-2</v>
      </c>
      <c r="G68">
        <v>4.5095000000000003E-2</v>
      </c>
      <c r="H68">
        <v>-5.6960854999999998E-2</v>
      </c>
      <c r="I68">
        <v>-3.2181860000000001E-3</v>
      </c>
      <c r="J68">
        <v>0.93295454550000001</v>
      </c>
      <c r="K68">
        <v>1</v>
      </c>
      <c r="M68" t="s">
        <v>15</v>
      </c>
      <c r="N68">
        <v>-0.4551</v>
      </c>
      <c r="O68">
        <v>-0.46149699999999999</v>
      </c>
      <c r="P68">
        <v>-6.3653529999999998E-3</v>
      </c>
      <c r="Q68">
        <v>5.0153000000000003E-2</v>
      </c>
      <c r="R68">
        <v>4.7445000000000001E-2</v>
      </c>
      <c r="S68">
        <v>-5.3998500999999997E-2</v>
      </c>
      <c r="T68">
        <v>1.39857318E-2</v>
      </c>
      <c r="U68">
        <v>0.92159090909999997</v>
      </c>
      <c r="V68">
        <v>1</v>
      </c>
      <c r="X68" t="s">
        <v>15</v>
      </c>
      <c r="Y68">
        <v>-1.61</v>
      </c>
      <c r="Z68">
        <v>-1.6017999999999999</v>
      </c>
      <c r="AA68">
        <v>8.4939999999999998E-3</v>
      </c>
      <c r="AB68">
        <v>-5.2750000000000002E-3</v>
      </c>
      <c r="AC68">
        <v>0.36670000000000003</v>
      </c>
      <c r="AD68">
        <v>0.38129999999999997</v>
      </c>
      <c r="AE68">
        <v>3.9692999999999999E-2</v>
      </c>
      <c r="AF68">
        <v>0.95899999999999996</v>
      </c>
      <c r="AG68">
        <v>0.99199999999999999</v>
      </c>
      <c r="AI68" t="s">
        <v>15</v>
      </c>
      <c r="AJ68">
        <v>-1.58</v>
      </c>
      <c r="AK68">
        <v>-1.4457</v>
      </c>
      <c r="AL68">
        <v>0.13492000000000001</v>
      </c>
      <c r="AM68">
        <v>-8.5360000000000005E-2</v>
      </c>
      <c r="AN68">
        <v>0.41389999999999999</v>
      </c>
      <c r="AO68">
        <v>0.4385</v>
      </c>
      <c r="AP68">
        <v>5.9449000000000002E-2</v>
      </c>
      <c r="AQ68">
        <v>0.95599999999999996</v>
      </c>
      <c r="AR68">
        <v>0.91100000000000003</v>
      </c>
      <c r="AS68" s="14"/>
    </row>
    <row r="69" spans="1:45" x14ac:dyDescent="0.25">
      <c r="A69" s="14"/>
      <c r="B69" t="s">
        <v>16</v>
      </c>
      <c r="C69">
        <v>-8.2500000000000004E-2</v>
      </c>
      <c r="D69">
        <v>-8.4843000000000002E-2</v>
      </c>
      <c r="E69">
        <v>-2.3009390000000001E-3</v>
      </c>
      <c r="F69">
        <v>5.4886999999999998E-2</v>
      </c>
      <c r="G69">
        <v>5.3947000000000002E-2</v>
      </c>
      <c r="H69">
        <v>-1.7109877999999999E-2</v>
      </c>
      <c r="I69">
        <v>2.7875832699999999E-2</v>
      </c>
      <c r="J69">
        <v>0.94886363640000004</v>
      </c>
      <c r="K69">
        <v>0.37159090909999998</v>
      </c>
      <c r="M69" t="s">
        <v>16</v>
      </c>
      <c r="N69">
        <v>-8.0399999999999999E-2</v>
      </c>
      <c r="O69">
        <v>-8.0200999999999995E-2</v>
      </c>
      <c r="P69">
        <v>2.057912E-4</v>
      </c>
      <c r="Q69">
        <v>5.602E-2</v>
      </c>
      <c r="R69">
        <v>5.4932000000000002E-2</v>
      </c>
      <c r="S69">
        <v>-1.9430930999999999E-2</v>
      </c>
      <c r="T69">
        <v>-2.5593840000000001E-3</v>
      </c>
      <c r="U69">
        <v>0.94545454549999997</v>
      </c>
      <c r="V69">
        <v>0.3363636364</v>
      </c>
      <c r="X69" t="s">
        <v>16</v>
      </c>
      <c r="Y69">
        <v>-7.92</v>
      </c>
      <c r="Z69">
        <v>-7.9302999999999999</v>
      </c>
      <c r="AA69">
        <v>-1.5127E-2</v>
      </c>
      <c r="AB69">
        <v>1.9109999999999999E-3</v>
      </c>
      <c r="AC69">
        <v>0.4325</v>
      </c>
      <c r="AD69">
        <v>0.44429999999999997</v>
      </c>
      <c r="AE69">
        <v>2.7303000000000001E-2</v>
      </c>
      <c r="AF69">
        <v>0.95099999999999996</v>
      </c>
      <c r="AG69">
        <v>1</v>
      </c>
      <c r="AI69" t="s">
        <v>16</v>
      </c>
      <c r="AJ69">
        <v>-7.78</v>
      </c>
      <c r="AK69">
        <v>-8.2728999999999999</v>
      </c>
      <c r="AL69">
        <v>-0.49647999999999998</v>
      </c>
      <c r="AM69">
        <v>6.3839999999999994E-2</v>
      </c>
      <c r="AN69">
        <v>0.47520000000000001</v>
      </c>
      <c r="AO69">
        <v>0.47699999999999998</v>
      </c>
      <c r="AP69">
        <v>3.836E-3</v>
      </c>
      <c r="AQ69">
        <v>0.82399999999999995</v>
      </c>
      <c r="AR69">
        <v>1</v>
      </c>
      <c r="AS69" s="14"/>
    </row>
    <row r="70" spans="1:45" x14ac:dyDescent="0.25">
      <c r="A70" s="14"/>
      <c r="B70" t="s">
        <v>17</v>
      </c>
      <c r="C70">
        <v>-0.12590000000000001</v>
      </c>
      <c r="D70">
        <v>-0.12590000000000001</v>
      </c>
      <c r="E70">
        <v>4.6411E-5</v>
      </c>
      <c r="F70">
        <v>4.9350000000000002E-3</v>
      </c>
      <c r="G70">
        <v>4.8820000000000001E-3</v>
      </c>
      <c r="H70">
        <v>-1.0688738999999999E-2</v>
      </c>
      <c r="I70">
        <v>-3.68499E-4</v>
      </c>
      <c r="J70">
        <v>0.94545454549999997</v>
      </c>
      <c r="K70">
        <v>1</v>
      </c>
      <c r="M70" t="s">
        <v>17</v>
      </c>
      <c r="N70">
        <v>-0.1255</v>
      </c>
      <c r="O70">
        <v>-0.125579</v>
      </c>
      <c r="P70">
        <v>-1.13801E-4</v>
      </c>
      <c r="Q70">
        <v>4.8589999999999996E-3</v>
      </c>
      <c r="R70">
        <v>4.803E-3</v>
      </c>
      <c r="S70">
        <v>-1.1552181E-2</v>
      </c>
      <c r="T70">
        <v>9.0703219999999996E-4</v>
      </c>
      <c r="U70">
        <v>0.94659090909999999</v>
      </c>
      <c r="V70">
        <v>1</v>
      </c>
      <c r="X70" t="s">
        <v>17</v>
      </c>
      <c r="Y70">
        <v>5.87</v>
      </c>
      <c r="Z70">
        <v>5.8720999999999997</v>
      </c>
      <c r="AA70">
        <v>3.9579999999999997E-3</v>
      </c>
      <c r="AB70">
        <v>6.7400000000000001E-4</v>
      </c>
      <c r="AC70">
        <v>3.1099999999999999E-2</v>
      </c>
      <c r="AD70">
        <v>3.3700000000000001E-2</v>
      </c>
      <c r="AE70">
        <v>8.6488999999999996E-2</v>
      </c>
      <c r="AF70">
        <v>0.96599999999999997</v>
      </c>
      <c r="AG70">
        <v>1</v>
      </c>
      <c r="AI70" t="s">
        <v>17</v>
      </c>
      <c r="AJ70">
        <v>5.86</v>
      </c>
      <c r="AK70">
        <v>5.8678999999999997</v>
      </c>
      <c r="AL70">
        <v>3.49E-3</v>
      </c>
      <c r="AM70">
        <v>5.9999999999999995E-4</v>
      </c>
      <c r="AN70">
        <v>2.7900000000000001E-2</v>
      </c>
      <c r="AO70">
        <v>3.0300000000000001E-2</v>
      </c>
      <c r="AP70">
        <v>8.3748000000000003E-2</v>
      </c>
      <c r="AQ70">
        <v>0.96899999999999997</v>
      </c>
      <c r="AR70">
        <v>1</v>
      </c>
      <c r="AS70" s="14"/>
    </row>
    <row r="71" spans="1:45" x14ac:dyDescent="0.25">
      <c r="A71" s="14"/>
      <c r="B71" t="s">
        <v>18</v>
      </c>
      <c r="C71">
        <v>-6.9999999999999999E-4</v>
      </c>
      <c r="D71">
        <v>-7.6800000000000002E-4</v>
      </c>
      <c r="E71">
        <v>-5.9837999999999999E-5</v>
      </c>
      <c r="F71">
        <v>2.565E-3</v>
      </c>
      <c r="G71">
        <v>2.4589999999999998E-3</v>
      </c>
      <c r="H71">
        <v>-4.1354825999999997E-2</v>
      </c>
      <c r="I71">
        <v>8.4551778699999997E-2</v>
      </c>
      <c r="J71">
        <v>0.94204545449999999</v>
      </c>
      <c r="K71">
        <v>6.25E-2</v>
      </c>
      <c r="M71" t="s">
        <v>18</v>
      </c>
      <c r="N71">
        <v>-1.1999999999999999E-3</v>
      </c>
      <c r="O71">
        <v>-1.181E-3</v>
      </c>
      <c r="P71">
        <v>1.1789E-5</v>
      </c>
      <c r="Q71">
        <v>2.565E-3</v>
      </c>
      <c r="R71">
        <v>2.4550000000000002E-3</v>
      </c>
      <c r="S71">
        <v>-4.3072472000000001E-2</v>
      </c>
      <c r="T71">
        <v>-9.8870680000000006E-3</v>
      </c>
      <c r="U71">
        <v>0.94090909089999997</v>
      </c>
      <c r="V71">
        <v>7.9545454500000001E-2</v>
      </c>
      <c r="X71" t="s">
        <v>18</v>
      </c>
      <c r="Y71">
        <v>0.03</v>
      </c>
      <c r="Z71">
        <v>2.8000000000000001E-2</v>
      </c>
      <c r="AA71">
        <v>-4.2000000000000002E-4</v>
      </c>
      <c r="AB71">
        <v>-1.4763E-2</v>
      </c>
      <c r="AC71">
        <v>1.9599999999999999E-2</v>
      </c>
      <c r="AD71">
        <v>1.9599999999999999E-2</v>
      </c>
      <c r="AE71">
        <v>-4.9100000000000001E-4</v>
      </c>
      <c r="AF71">
        <v>0.95199999999999996</v>
      </c>
      <c r="AG71">
        <v>0.28499999999999998</v>
      </c>
      <c r="AI71" t="s">
        <v>18</v>
      </c>
      <c r="AJ71">
        <v>0.03</v>
      </c>
      <c r="AK71">
        <v>3.7499999999999999E-2</v>
      </c>
      <c r="AL71">
        <v>5.3899999999999998E-3</v>
      </c>
      <c r="AM71">
        <v>0.16794999999999999</v>
      </c>
      <c r="AN71">
        <v>1.7899999999999999E-2</v>
      </c>
      <c r="AO71">
        <v>1.8100000000000002E-2</v>
      </c>
      <c r="AP71">
        <v>1.0422000000000001E-2</v>
      </c>
      <c r="AQ71">
        <v>0.93600000000000005</v>
      </c>
      <c r="AR71">
        <v>0.53600000000000003</v>
      </c>
      <c r="AS71" s="14"/>
    </row>
  </sheetData>
  <mergeCells count="20">
    <mergeCell ref="B1:V1"/>
    <mergeCell ref="X1:AR1"/>
    <mergeCell ref="B2:K2"/>
    <mergeCell ref="M2:V2"/>
    <mergeCell ref="X2:AG2"/>
    <mergeCell ref="AI2:AR2"/>
    <mergeCell ref="A3:A11"/>
    <mergeCell ref="AS3:AS11"/>
    <mergeCell ref="A13:A21"/>
    <mergeCell ref="AS13:AS21"/>
    <mergeCell ref="A23:A31"/>
    <mergeCell ref="AS23:AS31"/>
    <mergeCell ref="A63:A71"/>
    <mergeCell ref="AS63:AS71"/>
    <mergeCell ref="A33:A41"/>
    <mergeCell ref="AS33:AS41"/>
    <mergeCell ref="A43:A51"/>
    <mergeCell ref="AS43:AS51"/>
    <mergeCell ref="A53:A61"/>
    <mergeCell ref="AS53:AS61"/>
  </mergeCells>
  <conditionalFormatting sqref="J5:J11">
    <cfRule type="cellIs" dxfId="119" priority="47" stopIfTrue="1" operator="between">
      <formula>0.8</formula>
      <formula>0.9</formula>
    </cfRule>
    <cfRule type="cellIs" dxfId="118" priority="46" stopIfTrue="1" operator="between">
      <formula>0</formula>
      <formula>1</formula>
    </cfRule>
    <cfRule type="cellIs" dxfId="117" priority="45" stopIfTrue="1" operator="between">
      <formula>0.9365</formula>
      <formula>0.9635</formula>
    </cfRule>
    <cfRule type="cellIs" dxfId="116" priority="48" stopIfTrue="1" operator="between">
      <formula>0</formula>
      <formula>0.8</formula>
    </cfRule>
  </conditionalFormatting>
  <conditionalFormatting sqref="J15:J21">
    <cfRule type="cellIs" dxfId="115" priority="37" stopIfTrue="1" operator="between">
      <formula>0.9365</formula>
      <formula>0.9635</formula>
    </cfRule>
    <cfRule type="cellIs" dxfId="114" priority="40" stopIfTrue="1" operator="between">
      <formula>0</formula>
      <formula>0.8</formula>
    </cfRule>
    <cfRule type="cellIs" dxfId="113" priority="39" stopIfTrue="1" operator="between">
      <formula>0.8</formula>
      <formula>0.9</formula>
    </cfRule>
    <cfRule type="cellIs" dxfId="112" priority="38" stopIfTrue="1" operator="between">
      <formula>0</formula>
      <formula>1</formula>
    </cfRule>
  </conditionalFormatting>
  <conditionalFormatting sqref="J25:J31">
    <cfRule type="cellIs" dxfId="111" priority="44" stopIfTrue="1" operator="between">
      <formula>0</formula>
      <formula>0.8</formula>
    </cfRule>
    <cfRule type="cellIs" dxfId="110" priority="42" stopIfTrue="1" operator="between">
      <formula>0.9</formula>
      <formula>0.95</formula>
    </cfRule>
    <cfRule type="cellIs" dxfId="109" priority="41" stopIfTrue="1" operator="between">
      <formula>0.95</formula>
      <formula>1</formula>
    </cfRule>
    <cfRule type="cellIs" dxfId="108" priority="43" stopIfTrue="1" operator="between">
      <formula>0.8</formula>
      <formula>0.9</formula>
    </cfRule>
  </conditionalFormatting>
  <conditionalFormatting sqref="J35:J41">
    <cfRule type="cellIs" dxfId="107" priority="33" stopIfTrue="1" operator="between">
      <formula>0.9365</formula>
      <formula>0.9635</formula>
    </cfRule>
    <cfRule type="cellIs" dxfId="106" priority="35" stopIfTrue="1" operator="between">
      <formula>0.8</formula>
      <formula>0.9</formula>
    </cfRule>
    <cfRule type="cellIs" dxfId="105" priority="36" stopIfTrue="1" operator="between">
      <formula>0</formula>
      <formula>0.8</formula>
    </cfRule>
    <cfRule type="cellIs" dxfId="104" priority="34" stopIfTrue="1" operator="between">
      <formula>0</formula>
      <formula>1</formula>
    </cfRule>
  </conditionalFormatting>
  <conditionalFormatting sqref="J45:J51">
    <cfRule type="cellIs" dxfId="103" priority="31" stopIfTrue="1" operator="between">
      <formula>0.8</formula>
      <formula>0.9</formula>
    </cfRule>
    <cfRule type="cellIs" dxfId="102" priority="32" stopIfTrue="1" operator="between">
      <formula>0</formula>
      <formula>0.8</formula>
    </cfRule>
    <cfRule type="cellIs" dxfId="101" priority="29" stopIfTrue="1" operator="between">
      <formula>0.9365</formula>
      <formula>0.9635</formula>
    </cfRule>
    <cfRule type="cellIs" dxfId="100" priority="30" stopIfTrue="1" operator="between">
      <formula>0</formula>
      <formula>1</formula>
    </cfRule>
  </conditionalFormatting>
  <conditionalFormatting sqref="J55:J61">
    <cfRule type="cellIs" dxfId="99" priority="27" stopIfTrue="1" operator="between">
      <formula>0.8</formula>
      <formula>0.9</formula>
    </cfRule>
    <cfRule type="cellIs" dxfId="98" priority="25" stopIfTrue="1" operator="between">
      <formula>0.9365</formula>
      <formula>0.9635</formula>
    </cfRule>
    <cfRule type="cellIs" dxfId="97" priority="26" stopIfTrue="1" operator="between">
      <formula>0</formula>
      <formula>1</formula>
    </cfRule>
    <cfRule type="cellIs" dxfId="96" priority="28" stopIfTrue="1" operator="between">
      <formula>0</formula>
      <formula>0.8</formula>
    </cfRule>
  </conditionalFormatting>
  <conditionalFormatting sqref="J65:J71">
    <cfRule type="cellIs" dxfId="95" priority="53" stopIfTrue="1" operator="between">
      <formula>0.9365</formula>
      <formula>0.9635</formula>
    </cfRule>
    <cfRule type="cellIs" dxfId="94" priority="54" stopIfTrue="1" operator="between">
      <formula>0</formula>
      <formula>1</formula>
    </cfRule>
    <cfRule type="cellIs" dxfId="93" priority="55" stopIfTrue="1" operator="between">
      <formula>0.8</formula>
      <formula>0.9</formula>
    </cfRule>
    <cfRule type="cellIs" dxfId="92" priority="56" stopIfTrue="1" operator="between">
      <formula>0</formula>
      <formula>0.8</formula>
    </cfRule>
  </conditionalFormatting>
  <conditionalFormatting sqref="U5:U11">
    <cfRule type="cellIs" dxfId="91" priority="22" stopIfTrue="1" operator="between">
      <formula>0</formula>
      <formula>1</formula>
    </cfRule>
    <cfRule type="cellIs" dxfId="90" priority="23" stopIfTrue="1" operator="between">
      <formula>0.8</formula>
      <formula>0.9</formula>
    </cfRule>
    <cfRule type="cellIs" dxfId="89" priority="24" stopIfTrue="1" operator="between">
      <formula>0</formula>
      <formula>0.8</formula>
    </cfRule>
    <cfRule type="cellIs" dxfId="88" priority="21" stopIfTrue="1" operator="between">
      <formula>0.9365</formula>
      <formula>0.9635</formula>
    </cfRule>
  </conditionalFormatting>
  <conditionalFormatting sqref="U15:U21">
    <cfRule type="cellIs" dxfId="87" priority="15" stopIfTrue="1" operator="between">
      <formula>0.8</formula>
      <formula>0.9</formula>
    </cfRule>
    <cfRule type="cellIs" dxfId="86" priority="14" stopIfTrue="1" operator="between">
      <formula>0</formula>
      <formula>1</formula>
    </cfRule>
    <cfRule type="cellIs" dxfId="85" priority="16" stopIfTrue="1" operator="between">
      <formula>0</formula>
      <formula>0.8</formula>
    </cfRule>
    <cfRule type="cellIs" dxfId="84" priority="13" stopIfTrue="1" operator="between">
      <formula>0.9365</formula>
      <formula>0.9635</formula>
    </cfRule>
  </conditionalFormatting>
  <conditionalFormatting sqref="U25:U31">
    <cfRule type="cellIs" dxfId="83" priority="19" stopIfTrue="1" operator="between">
      <formula>0.8</formula>
      <formula>0.9</formula>
    </cfRule>
    <cfRule type="cellIs" dxfId="82" priority="20" stopIfTrue="1" operator="between">
      <formula>0</formula>
      <formula>0.8</formula>
    </cfRule>
    <cfRule type="cellIs" dxfId="81" priority="17" stopIfTrue="1" operator="between">
      <formula>0.95</formula>
      <formula>1</formula>
    </cfRule>
    <cfRule type="cellIs" dxfId="80" priority="18" stopIfTrue="1" operator="between">
      <formula>0.9</formula>
      <formula>0.95</formula>
    </cfRule>
  </conditionalFormatting>
  <conditionalFormatting sqref="U35:U41">
    <cfRule type="cellIs" dxfId="79" priority="9" stopIfTrue="1" operator="between">
      <formula>0.9365</formula>
      <formula>0.9635</formula>
    </cfRule>
    <cfRule type="cellIs" dxfId="78" priority="12" stopIfTrue="1" operator="between">
      <formula>0</formula>
      <formula>0.8</formula>
    </cfRule>
    <cfRule type="cellIs" dxfId="77" priority="11" stopIfTrue="1" operator="between">
      <formula>0.8</formula>
      <formula>0.9</formula>
    </cfRule>
    <cfRule type="cellIs" dxfId="76" priority="10" stopIfTrue="1" operator="between">
      <formula>0</formula>
      <formula>1</formula>
    </cfRule>
  </conditionalFormatting>
  <conditionalFormatting sqref="U45:U51">
    <cfRule type="cellIs" dxfId="75" priority="8" stopIfTrue="1" operator="between">
      <formula>0</formula>
      <formula>0.8</formula>
    </cfRule>
    <cfRule type="cellIs" dxfId="74" priority="7" stopIfTrue="1" operator="between">
      <formula>0.8</formula>
      <formula>0.9</formula>
    </cfRule>
    <cfRule type="cellIs" dxfId="73" priority="6" stopIfTrue="1" operator="between">
      <formula>0</formula>
      <formula>1</formula>
    </cfRule>
    <cfRule type="cellIs" dxfId="72" priority="5" stopIfTrue="1" operator="between">
      <formula>0.9365</formula>
      <formula>0.9635</formula>
    </cfRule>
  </conditionalFormatting>
  <conditionalFormatting sqref="U55:U61">
    <cfRule type="cellIs" dxfId="71" priority="4" stopIfTrue="1" operator="between">
      <formula>0</formula>
      <formula>0.8</formula>
    </cfRule>
    <cfRule type="cellIs" dxfId="70" priority="3" stopIfTrue="1" operator="between">
      <formula>0.8</formula>
      <formula>0.9</formula>
    </cfRule>
    <cfRule type="cellIs" dxfId="69" priority="2" stopIfTrue="1" operator="between">
      <formula>0</formula>
      <formula>1</formula>
    </cfRule>
    <cfRule type="cellIs" dxfId="68" priority="1" stopIfTrue="1" operator="between">
      <formula>0.9365</formula>
      <formula>0.9635</formula>
    </cfRule>
  </conditionalFormatting>
  <conditionalFormatting sqref="U65:U71">
    <cfRule type="cellIs" dxfId="67" priority="49" stopIfTrue="1" operator="between">
      <formula>0.9365</formula>
      <formula>0.9635</formula>
    </cfRule>
    <cfRule type="cellIs" dxfId="66" priority="50" stopIfTrue="1" operator="between">
      <formula>0</formula>
      <formula>1</formula>
    </cfRule>
    <cfRule type="cellIs" dxfId="65" priority="51" stopIfTrue="1" operator="between">
      <formula>0.8</formula>
      <formula>0.9</formula>
    </cfRule>
    <cfRule type="cellIs" dxfId="64" priority="52" stopIfTrue="1" operator="between">
      <formula>0</formula>
      <formula>0.8</formula>
    </cfRule>
  </conditionalFormatting>
  <conditionalFormatting sqref="AF5:AF11">
    <cfRule type="cellIs" dxfId="63" priority="73" stopIfTrue="1" operator="between">
      <formula>0.9365</formula>
      <formula>0.9635</formula>
    </cfRule>
    <cfRule type="cellIs" dxfId="62" priority="74" stopIfTrue="1" operator="between">
      <formula>0.9095</formula>
      <formula>0.9905</formula>
    </cfRule>
    <cfRule type="cellIs" dxfId="61" priority="75" stopIfTrue="1" operator="between">
      <formula>0</formula>
      <formula>1</formula>
    </cfRule>
    <cfRule type="cellIs" dxfId="60" priority="76" stopIfTrue="1" operator="between">
      <formula>0</formula>
      <formula>0.8</formula>
    </cfRule>
  </conditionalFormatting>
  <conditionalFormatting sqref="AF15:AF21">
    <cfRule type="cellIs" dxfId="59" priority="77" stopIfTrue="1" operator="between">
      <formula>0.9365</formula>
      <formula>0.9635</formula>
    </cfRule>
    <cfRule type="cellIs" dxfId="58" priority="78" stopIfTrue="1" operator="between">
      <formula>0.9095</formula>
      <formula>0.9905</formula>
    </cfRule>
    <cfRule type="cellIs" dxfId="57" priority="79" stopIfTrue="1" operator="between">
      <formula>0</formula>
      <formula>1</formula>
    </cfRule>
    <cfRule type="cellIs" dxfId="56" priority="80" stopIfTrue="1" operator="between">
      <formula>0</formula>
      <formula>0.8</formula>
    </cfRule>
  </conditionalFormatting>
  <conditionalFormatting sqref="AF25:AF31">
    <cfRule type="cellIs" dxfId="55" priority="112" stopIfTrue="1" operator="between">
      <formula>0</formula>
      <formula>0.8</formula>
    </cfRule>
    <cfRule type="cellIs" dxfId="54" priority="109" stopIfTrue="1" operator="between">
      <formula>0.95</formula>
      <formula>1</formula>
    </cfRule>
    <cfRule type="cellIs" dxfId="53" priority="110" stopIfTrue="1" operator="between">
      <formula>0.9</formula>
      <formula>0.95</formula>
    </cfRule>
    <cfRule type="cellIs" dxfId="52" priority="111" stopIfTrue="1" operator="between">
      <formula>0.8</formula>
      <formula>0.9</formula>
    </cfRule>
  </conditionalFormatting>
  <conditionalFormatting sqref="AF35:AF41">
    <cfRule type="cellIs" dxfId="51" priority="84" stopIfTrue="1" operator="between">
      <formula>0</formula>
      <formula>0.8</formula>
    </cfRule>
    <cfRule type="cellIs" dxfId="50" priority="81" stopIfTrue="1" operator="between">
      <formula>0.9365</formula>
      <formula>0.9635</formula>
    </cfRule>
    <cfRule type="cellIs" dxfId="49" priority="82" stopIfTrue="1" operator="between">
      <formula>0.9095</formula>
      <formula>0.9905</formula>
    </cfRule>
    <cfRule type="cellIs" dxfId="48" priority="83" stopIfTrue="1" operator="between">
      <formula>0</formula>
      <formula>1</formula>
    </cfRule>
  </conditionalFormatting>
  <conditionalFormatting sqref="AF45:AF51">
    <cfRule type="cellIs" dxfId="47" priority="85" stopIfTrue="1" operator="between">
      <formula>0.9365</formula>
      <formula>0.9635</formula>
    </cfRule>
    <cfRule type="cellIs" dxfId="46" priority="86" stopIfTrue="1" operator="between">
      <formula>0.9095</formula>
      <formula>0.9905</formula>
    </cfRule>
    <cfRule type="cellIs" dxfId="45" priority="87" stopIfTrue="1" operator="between">
      <formula>0</formula>
      <formula>1</formula>
    </cfRule>
    <cfRule type="cellIs" dxfId="44" priority="88" stopIfTrue="1" operator="between">
      <formula>0</formula>
      <formula>0.8</formula>
    </cfRule>
  </conditionalFormatting>
  <conditionalFormatting sqref="AF55:AF61">
    <cfRule type="cellIs" dxfId="43" priority="101" stopIfTrue="1" operator="between">
      <formula>0.9365</formula>
      <formula>0.9635</formula>
    </cfRule>
    <cfRule type="cellIs" dxfId="42" priority="102" stopIfTrue="1" operator="between">
      <formula>0.9095</formula>
      <formula>0.9905</formula>
    </cfRule>
    <cfRule type="cellIs" dxfId="41" priority="103" stopIfTrue="1" operator="between">
      <formula>0</formula>
      <formula>1</formula>
    </cfRule>
    <cfRule type="cellIs" dxfId="40" priority="104" stopIfTrue="1" operator="between">
      <formula>0</formula>
      <formula>0.8</formula>
    </cfRule>
  </conditionalFormatting>
  <conditionalFormatting sqref="AF65:AF71">
    <cfRule type="cellIs" dxfId="39" priority="98" stopIfTrue="1" operator="between">
      <formula>0.9095</formula>
      <formula>0.9905</formula>
    </cfRule>
    <cfRule type="cellIs" dxfId="38" priority="97" stopIfTrue="1" operator="between">
      <formula>0.9365</formula>
      <formula>0.9635</formula>
    </cfRule>
    <cfRule type="cellIs" dxfId="37" priority="100" stopIfTrue="1" operator="between">
      <formula>0</formula>
      <formula>0.8</formula>
    </cfRule>
    <cfRule type="cellIs" dxfId="36" priority="99" stopIfTrue="1" operator="between">
      <formula>0</formula>
      <formula>1</formula>
    </cfRule>
  </conditionalFormatting>
  <conditionalFormatting sqref="AQ5:AQ11">
    <cfRule type="cellIs" dxfId="35" priority="71" stopIfTrue="1" operator="between">
      <formula>0</formula>
      <formula>1</formula>
    </cfRule>
    <cfRule type="cellIs" dxfId="34" priority="69" stopIfTrue="1" operator="between">
      <formula>0.9365</formula>
      <formula>0.9635</formula>
    </cfRule>
    <cfRule type="cellIs" dxfId="33" priority="70" stopIfTrue="1" operator="between">
      <formula>0.9095</formula>
      <formula>0.9905</formula>
    </cfRule>
    <cfRule type="cellIs" dxfId="32" priority="72" stopIfTrue="1" operator="between">
      <formula>0</formula>
      <formula>0.8</formula>
    </cfRule>
  </conditionalFormatting>
  <conditionalFormatting sqref="AQ15:AQ21">
    <cfRule type="cellIs" dxfId="31" priority="65" stopIfTrue="1" operator="between">
      <formula>0.9365</formula>
      <formula>0.9635</formula>
    </cfRule>
    <cfRule type="cellIs" dxfId="30" priority="66" stopIfTrue="1" operator="between">
      <formula>0.9095</formula>
      <formula>0.9905</formula>
    </cfRule>
    <cfRule type="cellIs" dxfId="29" priority="67" stopIfTrue="1" operator="between">
      <formula>0</formula>
      <formula>1</formula>
    </cfRule>
    <cfRule type="cellIs" dxfId="28" priority="68" stopIfTrue="1" operator="between">
      <formula>0</formula>
      <formula>0.8</formula>
    </cfRule>
  </conditionalFormatting>
  <conditionalFormatting sqref="AQ25:AQ31">
    <cfRule type="cellIs" dxfId="27" priority="105" stopIfTrue="1" operator="between">
      <formula>0.95</formula>
      <formula>1</formula>
    </cfRule>
    <cfRule type="cellIs" dxfId="26" priority="106" stopIfTrue="1" operator="between">
      <formula>0.9</formula>
      <formula>0.95</formula>
    </cfRule>
    <cfRule type="cellIs" dxfId="25" priority="107" stopIfTrue="1" operator="between">
      <formula>0.8</formula>
      <formula>0.9</formula>
    </cfRule>
    <cfRule type="cellIs" dxfId="24" priority="108" stopIfTrue="1" operator="between">
      <formula>0</formula>
      <formula>0.8</formula>
    </cfRule>
  </conditionalFormatting>
  <conditionalFormatting sqref="AQ35:AQ41">
    <cfRule type="cellIs" dxfId="23" priority="61" stopIfTrue="1" operator="between">
      <formula>0.9365</formula>
      <formula>0.9635</formula>
    </cfRule>
    <cfRule type="cellIs" dxfId="22" priority="62" stopIfTrue="1" operator="between">
      <formula>0.9095</formula>
      <formula>0.9905</formula>
    </cfRule>
    <cfRule type="cellIs" dxfId="21" priority="63" stopIfTrue="1" operator="between">
      <formula>0</formula>
      <formula>1</formula>
    </cfRule>
    <cfRule type="cellIs" dxfId="20" priority="64" stopIfTrue="1" operator="between">
      <formula>0</formula>
      <formula>0.8</formula>
    </cfRule>
  </conditionalFormatting>
  <conditionalFormatting sqref="AQ45:AQ51">
    <cfRule type="cellIs" dxfId="19" priority="60" stopIfTrue="1" operator="between">
      <formula>0</formula>
      <formula>0.8</formula>
    </cfRule>
    <cfRule type="cellIs" dxfId="18" priority="58" stopIfTrue="1" operator="between">
      <formula>0.9095</formula>
      <formula>0.9905</formula>
    </cfRule>
    <cfRule type="cellIs" dxfId="17" priority="57" stopIfTrue="1" operator="between">
      <formula>0.9365</formula>
      <formula>0.9635</formula>
    </cfRule>
    <cfRule type="cellIs" dxfId="16" priority="59" stopIfTrue="1" operator="between">
      <formula>0</formula>
      <formula>1</formula>
    </cfRule>
  </conditionalFormatting>
  <conditionalFormatting sqref="AQ55:AQ61">
    <cfRule type="cellIs" dxfId="15" priority="94" stopIfTrue="1" operator="between">
      <formula>0.9095</formula>
      <formula>0.9905</formula>
    </cfRule>
    <cfRule type="cellIs" dxfId="14" priority="95" stopIfTrue="1" operator="between">
      <formula>0</formula>
      <formula>1</formula>
    </cfRule>
    <cfRule type="cellIs" dxfId="13" priority="96" stopIfTrue="1" operator="between">
      <formula>0</formula>
      <formula>0.8</formula>
    </cfRule>
    <cfRule type="cellIs" dxfId="12" priority="93" stopIfTrue="1" operator="between">
      <formula>0.9365</formula>
      <formula>0.9635</formula>
    </cfRule>
  </conditionalFormatting>
  <conditionalFormatting sqref="AQ65:AQ71">
    <cfRule type="cellIs" dxfId="11" priority="91" stopIfTrue="1" operator="between">
      <formula>0</formula>
      <formula>1</formula>
    </cfRule>
    <cfRule type="cellIs" dxfId="10" priority="90" stopIfTrue="1" operator="between">
      <formula>0.9095</formula>
      <formula>0.9905</formula>
    </cfRule>
    <cfRule type="cellIs" dxfId="9" priority="89" stopIfTrue="1" operator="between">
      <formula>0.9365</formula>
      <formula>0.9635</formula>
    </cfRule>
    <cfRule type="cellIs" dxfId="8" priority="92" stopIfTrue="1" operator="between">
      <formula>0</formula>
      <formula>0.8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203F-0CFD-4376-9381-6B7CCCD3BC5D}">
  <dimension ref="A1:R62"/>
  <sheetViews>
    <sheetView topLeftCell="A25" workbookViewId="0">
      <selection activeCell="A25" sqref="A25"/>
    </sheetView>
  </sheetViews>
  <sheetFormatPr defaultRowHeight="15" x14ac:dyDescent="0.25"/>
  <sheetData>
    <row r="1" spans="1:9" x14ac:dyDescent="0.25">
      <c r="A1" s="1" t="s">
        <v>32</v>
      </c>
    </row>
    <row r="2" spans="1:9" x14ac:dyDescent="0.25">
      <c r="A2" s="1" t="s">
        <v>296</v>
      </c>
      <c r="I2" s="1" t="s">
        <v>297</v>
      </c>
    </row>
    <row r="21" spans="1:15" ht="15" customHeight="1" x14ac:dyDescent="0.25">
      <c r="A21" t="s">
        <v>289</v>
      </c>
      <c r="I21" t="s">
        <v>289</v>
      </c>
    </row>
    <row r="22" spans="1:15" x14ac:dyDescent="0.25">
      <c r="A22" t="s">
        <v>192</v>
      </c>
      <c r="B22" t="s">
        <v>290</v>
      </c>
      <c r="C22" t="s">
        <v>291</v>
      </c>
      <c r="D22" t="s">
        <v>292</v>
      </c>
      <c r="E22" t="s">
        <v>293</v>
      </c>
      <c r="F22" t="s">
        <v>294</v>
      </c>
      <c r="G22" t="s">
        <v>295</v>
      </c>
      <c r="I22" t="s">
        <v>192</v>
      </c>
      <c r="J22" t="s">
        <v>290</v>
      </c>
      <c r="K22" t="s">
        <v>291</v>
      </c>
      <c r="L22" t="s">
        <v>292</v>
      </c>
      <c r="M22" t="s">
        <v>293</v>
      </c>
      <c r="N22" t="s">
        <v>294</v>
      </c>
      <c r="O22" t="s">
        <v>295</v>
      </c>
    </row>
    <row r="23" spans="1:15" x14ac:dyDescent="0.25">
      <c r="A23">
        <v>1</v>
      </c>
      <c r="B23">
        <v>77870</v>
      </c>
      <c r="C23">
        <v>77870</v>
      </c>
      <c r="D23">
        <v>0.47</v>
      </c>
      <c r="E23">
        <v>14.01</v>
      </c>
      <c r="F23">
        <v>0.73</v>
      </c>
      <c r="G23">
        <v>1</v>
      </c>
      <c r="I23">
        <v>1</v>
      </c>
      <c r="J23">
        <v>77870</v>
      </c>
      <c r="K23">
        <v>77870</v>
      </c>
      <c r="L23">
        <v>0.47</v>
      </c>
      <c r="M23">
        <v>14.01</v>
      </c>
      <c r="N23">
        <v>0.73</v>
      </c>
      <c r="O23">
        <v>1</v>
      </c>
    </row>
    <row r="24" spans="1:15" x14ac:dyDescent="0.25">
      <c r="A24">
        <v>2</v>
      </c>
      <c r="B24">
        <v>77870</v>
      </c>
      <c r="C24">
        <v>77870</v>
      </c>
      <c r="D24" s="1">
        <v>-11.95</v>
      </c>
      <c r="E24" s="1">
        <v>103.22</v>
      </c>
      <c r="F24">
        <v>1.21</v>
      </c>
      <c r="G24">
        <v>2.4500000000000002</v>
      </c>
      <c r="I24">
        <v>2</v>
      </c>
      <c r="J24">
        <v>77870</v>
      </c>
      <c r="K24">
        <v>77870</v>
      </c>
      <c r="L24" s="1">
        <v>-11.41</v>
      </c>
      <c r="M24" s="1">
        <v>106.4</v>
      </c>
      <c r="N24">
        <v>1.22</v>
      </c>
      <c r="O24">
        <v>2.46</v>
      </c>
    </row>
    <row r="25" spans="1:15" x14ac:dyDescent="0.25">
      <c r="A25">
        <v>3</v>
      </c>
      <c r="B25">
        <v>77870</v>
      </c>
      <c r="C25">
        <v>77870</v>
      </c>
      <c r="D25" s="1">
        <v>-9.77</v>
      </c>
      <c r="E25" s="1">
        <v>85.28</v>
      </c>
      <c r="F25">
        <v>1.1399999999999999</v>
      </c>
      <c r="G25">
        <v>2.16</v>
      </c>
      <c r="I25">
        <v>3</v>
      </c>
      <c r="J25">
        <v>77870</v>
      </c>
      <c r="K25">
        <v>77870</v>
      </c>
      <c r="L25" s="1">
        <v>-8.98</v>
      </c>
      <c r="M25" s="1">
        <v>85.28</v>
      </c>
      <c r="N25">
        <v>1.1399999999999999</v>
      </c>
      <c r="O25">
        <v>2.17</v>
      </c>
    </row>
    <row r="26" spans="1:15" x14ac:dyDescent="0.25">
      <c r="D26" s="1"/>
      <c r="E26" s="1"/>
      <c r="I26" t="s">
        <v>300</v>
      </c>
    </row>
    <row r="27" spans="1:15" x14ac:dyDescent="0.25">
      <c r="D27" s="1"/>
      <c r="E27" s="1"/>
      <c r="I27" s="11" t="s">
        <v>302</v>
      </c>
    </row>
    <row r="28" spans="1:15" x14ac:dyDescent="0.25">
      <c r="D28" s="1"/>
      <c r="E28" s="1"/>
      <c r="I28" s="11" t="s">
        <v>301</v>
      </c>
    </row>
    <row r="30" spans="1:15" x14ac:dyDescent="0.25">
      <c r="A30" s="1" t="s">
        <v>298</v>
      </c>
      <c r="I30" s="1" t="s">
        <v>299</v>
      </c>
    </row>
    <row r="31" spans="1:15" x14ac:dyDescent="0.25">
      <c r="A31" t="s">
        <v>303</v>
      </c>
    </row>
    <row r="38" spans="1:18" x14ac:dyDescent="0.25">
      <c r="A38" s="1" t="s">
        <v>304</v>
      </c>
      <c r="I38" s="1" t="s">
        <v>120</v>
      </c>
    </row>
    <row r="39" spans="1:18" x14ac:dyDescent="0.25">
      <c r="I39" t="s">
        <v>2</v>
      </c>
      <c r="J39" t="s">
        <v>3</v>
      </c>
      <c r="K39" t="s">
        <v>4</v>
      </c>
      <c r="L39" t="s">
        <v>5</v>
      </c>
      <c r="M39" t="s">
        <v>6</v>
      </c>
      <c r="N39" t="s">
        <v>7</v>
      </c>
      <c r="O39" t="s">
        <v>8</v>
      </c>
      <c r="P39" t="s">
        <v>9</v>
      </c>
      <c r="Q39" t="s">
        <v>10</v>
      </c>
      <c r="R39" t="s">
        <v>11</v>
      </c>
    </row>
    <row r="40" spans="1:18" x14ac:dyDescent="0.25">
      <c r="I40" t="s">
        <v>12</v>
      </c>
      <c r="J40">
        <v>107.08</v>
      </c>
      <c r="K40">
        <v>107.341106</v>
      </c>
      <c r="L40">
        <v>0.26369999999999999</v>
      </c>
      <c r="M40">
        <v>2.4599999999999999E-3</v>
      </c>
      <c r="N40">
        <v>1.7108699999999999</v>
      </c>
      <c r="O40">
        <v>1.8680099999999999</v>
      </c>
      <c r="P40">
        <v>9.1850000000000001E-2</v>
      </c>
      <c r="Q40">
        <v>0.96499999999999997</v>
      </c>
      <c r="R40">
        <v>0</v>
      </c>
    </row>
    <row r="41" spans="1:18" x14ac:dyDescent="0.25">
      <c r="I41" t="s">
        <v>13</v>
      </c>
      <c r="J41">
        <v>-4.7699999999999996</v>
      </c>
      <c r="K41">
        <v>-4.9932980000000002</v>
      </c>
      <c r="L41">
        <v>-0.22466</v>
      </c>
      <c r="M41">
        <v>4.7109999999999999E-2</v>
      </c>
      <c r="N41">
        <v>0.70895699999999995</v>
      </c>
      <c r="O41">
        <v>0.74141800000000002</v>
      </c>
      <c r="P41">
        <v>4.5789999999999997E-2</v>
      </c>
      <c r="Q41">
        <v>0.96199999999999997</v>
      </c>
      <c r="R41">
        <v>0</v>
      </c>
    </row>
    <row r="42" spans="1:18" x14ac:dyDescent="0.25">
      <c r="I42" t="s">
        <v>14</v>
      </c>
      <c r="J42">
        <v>8.6999999999999993</v>
      </c>
      <c r="K42">
        <v>10.565616</v>
      </c>
      <c r="L42">
        <v>1.8689199999999999</v>
      </c>
      <c r="M42">
        <v>0.21490000000000001</v>
      </c>
      <c r="N42">
        <v>0.37882500000000002</v>
      </c>
      <c r="O42">
        <v>0.40844000000000003</v>
      </c>
      <c r="P42">
        <v>7.8179999999999999E-2</v>
      </c>
      <c r="Q42">
        <v>3.0000000000000001E-3</v>
      </c>
      <c r="R42">
        <v>0</v>
      </c>
    </row>
    <row r="43" spans="1:18" x14ac:dyDescent="0.25">
      <c r="I43" t="s">
        <v>15</v>
      </c>
      <c r="J43">
        <v>-1.61</v>
      </c>
      <c r="K43">
        <v>-1.3702179999999999</v>
      </c>
      <c r="L43">
        <v>0.24007999999999999</v>
      </c>
      <c r="M43">
        <v>-0.14909</v>
      </c>
      <c r="N43">
        <v>0.42876399999999998</v>
      </c>
      <c r="O43">
        <v>0.46510400000000002</v>
      </c>
      <c r="P43">
        <v>8.4760000000000002E-2</v>
      </c>
      <c r="Q43">
        <v>0.94699999999999995</v>
      </c>
      <c r="R43">
        <v>0</v>
      </c>
    </row>
    <row r="44" spans="1:18" x14ac:dyDescent="0.25">
      <c r="I44" t="s">
        <v>16</v>
      </c>
      <c r="J44">
        <v>-7.92</v>
      </c>
      <c r="K44">
        <v>-9.4102259999999998</v>
      </c>
      <c r="L44">
        <v>-1.49505</v>
      </c>
      <c r="M44">
        <v>0.18887999999999999</v>
      </c>
      <c r="N44">
        <v>0.45264300000000002</v>
      </c>
      <c r="O44">
        <v>0.48172700000000002</v>
      </c>
      <c r="P44">
        <v>6.4250000000000002E-2</v>
      </c>
      <c r="Q44">
        <v>0.122</v>
      </c>
      <c r="R44">
        <v>0</v>
      </c>
    </row>
    <row r="45" spans="1:18" x14ac:dyDescent="0.25">
      <c r="I45" t="s">
        <v>17</v>
      </c>
      <c r="J45">
        <v>5.87</v>
      </c>
      <c r="K45">
        <v>5.825088</v>
      </c>
      <c r="L45">
        <v>-4.3049999999999998E-2</v>
      </c>
      <c r="M45">
        <v>-7.3400000000000002E-3</v>
      </c>
      <c r="N45">
        <v>3.3408E-2</v>
      </c>
      <c r="O45">
        <v>3.6937999999999999E-2</v>
      </c>
      <c r="P45">
        <v>0.10566</v>
      </c>
      <c r="Q45">
        <v>0.82299999999999995</v>
      </c>
      <c r="R45">
        <v>0</v>
      </c>
    </row>
    <row r="46" spans="1:18" x14ac:dyDescent="0.25">
      <c r="I46" t="s">
        <v>18</v>
      </c>
      <c r="J46">
        <v>0.03</v>
      </c>
      <c r="K46">
        <v>2.4689999999999998E-3</v>
      </c>
      <c r="L46">
        <v>-2.5950000000000001E-2</v>
      </c>
      <c r="M46">
        <v>-0.91312000000000004</v>
      </c>
      <c r="N46">
        <v>2.6991999999999999E-2</v>
      </c>
      <c r="O46">
        <v>3.0315999999999999E-2</v>
      </c>
      <c r="P46">
        <v>0.12311999999999999</v>
      </c>
      <c r="Q46">
        <v>0.90900000000000003</v>
      </c>
      <c r="R46">
        <v>0</v>
      </c>
    </row>
    <row r="48" spans="1:18" x14ac:dyDescent="0.25">
      <c r="I48" s="1" t="s">
        <v>305</v>
      </c>
    </row>
    <row r="49" spans="1:18" x14ac:dyDescent="0.25">
      <c r="I49" t="s">
        <v>2</v>
      </c>
      <c r="J49" t="s">
        <v>3</v>
      </c>
      <c r="K49" t="s">
        <v>4</v>
      </c>
      <c r="L49" t="s">
        <v>5</v>
      </c>
      <c r="M49" t="s">
        <v>6</v>
      </c>
      <c r="N49" t="s">
        <v>7</v>
      </c>
      <c r="O49" t="s">
        <v>8</v>
      </c>
      <c r="P49" t="s">
        <v>9</v>
      </c>
      <c r="Q49" t="s">
        <v>10</v>
      </c>
      <c r="R49" t="s">
        <v>11</v>
      </c>
    </row>
    <row r="50" spans="1:18" x14ac:dyDescent="0.25">
      <c r="I50" t="s">
        <v>12</v>
      </c>
      <c r="J50">
        <v>107.08</v>
      </c>
      <c r="K50">
        <v>106.616815</v>
      </c>
      <c r="L50">
        <v>-0.46059</v>
      </c>
      <c r="M50">
        <v>-4.3E-3</v>
      </c>
      <c r="N50">
        <v>1.5711170000000001</v>
      </c>
      <c r="O50">
        <v>1.8127409999999999</v>
      </c>
      <c r="P50">
        <v>0.15379000000000001</v>
      </c>
      <c r="Q50">
        <v>0.97299999999999998</v>
      </c>
      <c r="R50">
        <v>0</v>
      </c>
    </row>
    <row r="51" spans="1:18" x14ac:dyDescent="0.25">
      <c r="I51" t="s">
        <v>13</v>
      </c>
      <c r="J51">
        <v>-4.7699999999999996</v>
      </c>
      <c r="K51">
        <v>-5.0189649999999997</v>
      </c>
      <c r="L51">
        <v>-0.25031999999999999</v>
      </c>
      <c r="M51">
        <v>5.2490000000000002E-2</v>
      </c>
      <c r="N51">
        <v>0.62672399999999995</v>
      </c>
      <c r="O51">
        <v>0.69569899999999996</v>
      </c>
      <c r="P51">
        <v>0.11006000000000001</v>
      </c>
      <c r="Q51">
        <v>0.95799999999999996</v>
      </c>
      <c r="R51">
        <v>0</v>
      </c>
    </row>
    <row r="52" spans="1:18" x14ac:dyDescent="0.25">
      <c r="I52" t="s">
        <v>14</v>
      </c>
      <c r="J52">
        <v>8.6999999999999993</v>
      </c>
      <c r="K52">
        <v>10.791941</v>
      </c>
      <c r="L52">
        <v>2.09524</v>
      </c>
      <c r="M52">
        <v>0.24092</v>
      </c>
      <c r="N52">
        <v>0.374195</v>
      </c>
      <c r="O52">
        <v>0.41535699999999998</v>
      </c>
      <c r="P52">
        <v>0.11</v>
      </c>
      <c r="Q52">
        <v>0</v>
      </c>
      <c r="R52">
        <v>0</v>
      </c>
    </row>
    <row r="53" spans="1:18" x14ac:dyDescent="0.25">
      <c r="I53" t="s">
        <v>15</v>
      </c>
      <c r="J53">
        <v>-1.61</v>
      </c>
      <c r="K53">
        <v>-1.403132</v>
      </c>
      <c r="L53">
        <v>0.20716000000000001</v>
      </c>
      <c r="M53">
        <v>-0.12864999999999999</v>
      </c>
      <c r="N53">
        <v>0.37725799999999998</v>
      </c>
      <c r="O53">
        <v>0.43090600000000001</v>
      </c>
      <c r="P53">
        <v>0.14221</v>
      </c>
      <c r="Q53">
        <v>0.95899999999999996</v>
      </c>
      <c r="R53">
        <v>0</v>
      </c>
    </row>
    <row r="54" spans="1:18" x14ac:dyDescent="0.25">
      <c r="I54" t="s">
        <v>16</v>
      </c>
      <c r="J54">
        <v>-7.92</v>
      </c>
      <c r="K54">
        <v>-9.7814309999999995</v>
      </c>
      <c r="L54">
        <v>-1.86626</v>
      </c>
      <c r="M54">
        <v>0.23577999999999999</v>
      </c>
      <c r="N54">
        <v>0.44433699999999998</v>
      </c>
      <c r="O54">
        <v>0.48975400000000002</v>
      </c>
      <c r="P54">
        <v>0.10221</v>
      </c>
      <c r="Q54">
        <v>3.4000000000000002E-2</v>
      </c>
      <c r="R54">
        <v>0</v>
      </c>
    </row>
    <row r="55" spans="1:18" x14ac:dyDescent="0.25">
      <c r="I55" t="s">
        <v>17</v>
      </c>
      <c r="J55">
        <v>5.87</v>
      </c>
      <c r="K55">
        <v>5.8404480000000003</v>
      </c>
      <c r="L55">
        <v>-2.7689999999999999E-2</v>
      </c>
      <c r="M55">
        <v>-4.7200000000000002E-3</v>
      </c>
      <c r="N55">
        <v>3.2740999999999999E-2</v>
      </c>
      <c r="O55">
        <v>3.7434000000000002E-2</v>
      </c>
      <c r="P55">
        <v>0.14333000000000001</v>
      </c>
      <c r="Q55">
        <v>0.90700000000000003</v>
      </c>
      <c r="R55">
        <v>0</v>
      </c>
    </row>
    <row r="56" spans="1:18" x14ac:dyDescent="0.25">
      <c r="I56" t="s">
        <v>18</v>
      </c>
      <c r="J56">
        <v>0.03</v>
      </c>
      <c r="K56">
        <v>1.7920999999999999E-2</v>
      </c>
      <c r="L56">
        <v>-1.0500000000000001E-2</v>
      </c>
      <c r="M56">
        <v>-0.36934</v>
      </c>
      <c r="N56">
        <v>2.1240999999999999E-2</v>
      </c>
      <c r="O56">
        <v>2.5833999999999999E-2</v>
      </c>
      <c r="P56">
        <v>0.21623000000000001</v>
      </c>
      <c r="Q56">
        <v>0.96799999999999997</v>
      </c>
      <c r="R56">
        <v>0</v>
      </c>
    </row>
    <row r="57" spans="1:18" x14ac:dyDescent="0.25">
      <c r="A57" t="s">
        <v>289</v>
      </c>
    </row>
    <row r="58" spans="1:18" x14ac:dyDescent="0.25">
      <c r="A58" t="s">
        <v>192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s">
        <v>295</v>
      </c>
    </row>
    <row r="59" spans="1:18" x14ac:dyDescent="0.25">
      <c r="A59">
        <v>1</v>
      </c>
      <c r="B59">
        <v>77870</v>
      </c>
      <c r="C59">
        <v>77870</v>
      </c>
      <c r="D59">
        <v>0.47</v>
      </c>
      <c r="E59">
        <v>14.01</v>
      </c>
      <c r="F59">
        <v>0.73</v>
      </c>
      <c r="G59">
        <v>1</v>
      </c>
    </row>
    <row r="60" spans="1:18" x14ac:dyDescent="0.25">
      <c r="A60">
        <v>2</v>
      </c>
      <c r="B60">
        <v>77870</v>
      </c>
      <c r="C60">
        <v>77870</v>
      </c>
      <c r="D60" s="1">
        <v>0.48</v>
      </c>
      <c r="E60" s="1">
        <v>30.87</v>
      </c>
      <c r="F60">
        <v>1.1200000000000001</v>
      </c>
      <c r="G60">
        <v>2.02</v>
      </c>
    </row>
    <row r="61" spans="1:18" x14ac:dyDescent="0.25">
      <c r="A61">
        <v>3</v>
      </c>
      <c r="B61">
        <v>77870</v>
      </c>
      <c r="C61">
        <v>77870</v>
      </c>
      <c r="D61" s="1">
        <v>0.5</v>
      </c>
      <c r="E61" s="1">
        <v>85.28</v>
      </c>
      <c r="F61">
        <v>1.0900000000000001</v>
      </c>
      <c r="G61">
        <v>2.2599999999999998</v>
      </c>
    </row>
    <row r="62" spans="1:18" x14ac:dyDescent="0.25">
      <c r="D62" s="1"/>
      <c r="E62" s="1"/>
    </row>
  </sheetData>
  <conditionalFormatting sqref="Q40:Q46">
    <cfRule type="cellIs" dxfId="7" priority="5" stopIfTrue="1" operator="between">
      <formula>0.9365</formula>
      <formula>0.9635</formula>
    </cfRule>
    <cfRule type="cellIs" dxfId="6" priority="6" stopIfTrue="1" operator="between">
      <formula>0.9095</formula>
      <formula>0.9905</formula>
    </cfRule>
    <cfRule type="cellIs" dxfId="5" priority="7" stopIfTrue="1" operator="between">
      <formula>0</formula>
      <formula>1</formula>
    </cfRule>
    <cfRule type="cellIs" dxfId="4" priority="8" stopIfTrue="1" operator="between">
      <formula>0</formula>
      <formula>0.8</formula>
    </cfRule>
  </conditionalFormatting>
  <conditionalFormatting sqref="Q50:Q56">
    <cfRule type="cellIs" dxfId="3" priority="1" stopIfTrue="1" operator="between">
      <formula>0.9365</formula>
      <formula>0.9635</formula>
    </cfRule>
    <cfRule type="cellIs" dxfId="2" priority="2" stopIfTrue="1" operator="between">
      <formula>0.9095</formula>
      <formula>0.9905</formula>
    </cfRule>
    <cfRule type="cellIs" dxfId="1" priority="3" stopIfTrue="1" operator="between">
      <formula>0</formula>
      <formula>1</formula>
    </cfRule>
    <cfRule type="cellIs" dxfId="0" priority="4" stopIfTrue="1" operator="between">
      <formula>0</formula>
      <formula>0.8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9F39-DCB4-4A52-8C72-FB2F510D8A4B}">
  <dimension ref="A1:CY112"/>
  <sheetViews>
    <sheetView topLeftCell="B31" workbookViewId="0">
      <selection activeCell="A116" sqref="A116"/>
    </sheetView>
  </sheetViews>
  <sheetFormatPr defaultRowHeight="15" x14ac:dyDescent="0.25"/>
  <cols>
    <col min="1" max="1" width="41.5703125" bestFit="1" customWidth="1"/>
    <col min="15" max="15" width="34.5703125" bestFit="1" customWidth="1"/>
    <col min="16" max="16" width="12.85546875" bestFit="1" customWidth="1"/>
    <col min="17" max="17" width="12.5703125" bestFit="1" customWidth="1"/>
  </cols>
  <sheetData>
    <row r="1" spans="1:16" x14ac:dyDescent="0.25">
      <c r="A1" t="s">
        <v>146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H1" t="s">
        <v>130</v>
      </c>
    </row>
    <row r="2" spans="1:16" x14ac:dyDescent="0.25">
      <c r="A2" t="s">
        <v>147</v>
      </c>
      <c r="B2" t="s">
        <v>140</v>
      </c>
      <c r="C2" t="s">
        <v>143</v>
      </c>
      <c r="D2" t="s">
        <v>144</v>
      </c>
      <c r="F2" t="s">
        <v>160</v>
      </c>
      <c r="H2" t="s">
        <v>129</v>
      </c>
    </row>
    <row r="3" spans="1:16" x14ac:dyDescent="0.25">
      <c r="B3" t="s">
        <v>141</v>
      </c>
      <c r="C3" t="s">
        <v>143</v>
      </c>
      <c r="D3" t="s">
        <v>144</v>
      </c>
      <c r="F3" t="s">
        <v>161</v>
      </c>
      <c r="H3" t="s">
        <v>126</v>
      </c>
    </row>
    <row r="4" spans="1:16" x14ac:dyDescent="0.25">
      <c r="B4" t="s">
        <v>140</v>
      </c>
      <c r="C4" t="s">
        <v>142</v>
      </c>
      <c r="D4" t="s">
        <v>144</v>
      </c>
      <c r="F4" t="s">
        <v>160</v>
      </c>
      <c r="H4" t="s">
        <v>125</v>
      </c>
    </row>
    <row r="5" spans="1:16" x14ac:dyDescent="0.25">
      <c r="B5" t="s">
        <v>141</v>
      </c>
      <c r="C5" t="s">
        <v>142</v>
      </c>
      <c r="D5" t="s">
        <v>144</v>
      </c>
      <c r="F5" t="s">
        <v>161</v>
      </c>
      <c r="H5" t="s">
        <v>123</v>
      </c>
    </row>
    <row r="6" spans="1:16" x14ac:dyDescent="0.25">
      <c r="A6" t="s">
        <v>148</v>
      </c>
      <c r="B6" t="s">
        <v>140</v>
      </c>
      <c r="C6" t="s">
        <v>143</v>
      </c>
      <c r="D6" t="s">
        <v>145</v>
      </c>
      <c r="E6" t="s">
        <v>153</v>
      </c>
      <c r="F6" t="s">
        <v>162</v>
      </c>
      <c r="H6" t="s">
        <v>122</v>
      </c>
    </row>
    <row r="7" spans="1:16" x14ac:dyDescent="0.25">
      <c r="B7" t="s">
        <v>141</v>
      </c>
      <c r="C7" t="s">
        <v>143</v>
      </c>
      <c r="D7" t="s">
        <v>145</v>
      </c>
      <c r="E7" t="s">
        <v>153</v>
      </c>
      <c r="F7" t="s">
        <v>165</v>
      </c>
    </row>
    <row r="8" spans="1:16" x14ac:dyDescent="0.25">
      <c r="B8" t="s">
        <v>140</v>
      </c>
      <c r="C8" t="s">
        <v>143</v>
      </c>
      <c r="D8" t="s">
        <v>145</v>
      </c>
      <c r="E8" t="s">
        <v>154</v>
      </c>
      <c r="F8" t="s">
        <v>166</v>
      </c>
    </row>
    <row r="9" spans="1:16" x14ac:dyDescent="0.25">
      <c r="B9" t="s">
        <v>141</v>
      </c>
      <c r="C9" t="s">
        <v>143</v>
      </c>
      <c r="D9" t="s">
        <v>145</v>
      </c>
      <c r="E9" t="s">
        <v>154</v>
      </c>
      <c r="F9" t="s">
        <v>167</v>
      </c>
    </row>
    <row r="10" spans="1:16" x14ac:dyDescent="0.25">
      <c r="B10" t="s">
        <v>140</v>
      </c>
      <c r="C10" t="s">
        <v>142</v>
      </c>
      <c r="D10" t="s">
        <v>145</v>
      </c>
      <c r="E10" t="s">
        <v>153</v>
      </c>
      <c r="F10" t="s">
        <v>162</v>
      </c>
      <c r="H10" t="s">
        <v>179</v>
      </c>
      <c r="I10" t="s">
        <v>178</v>
      </c>
    </row>
    <row r="11" spans="1:16" x14ac:dyDescent="0.25">
      <c r="B11" t="s">
        <v>141</v>
      </c>
      <c r="C11" t="s">
        <v>142</v>
      </c>
      <c r="D11" t="s">
        <v>145</v>
      </c>
      <c r="E11" t="s">
        <v>153</v>
      </c>
      <c r="F11" t="s">
        <v>165</v>
      </c>
      <c r="H11" t="s">
        <v>180</v>
      </c>
      <c r="I11" t="s">
        <v>181</v>
      </c>
    </row>
    <row r="12" spans="1:16" x14ac:dyDescent="0.25">
      <c r="B12" t="s">
        <v>140</v>
      </c>
      <c r="C12" t="s">
        <v>142</v>
      </c>
      <c r="D12" t="s">
        <v>145</v>
      </c>
      <c r="E12" t="s">
        <v>154</v>
      </c>
      <c r="F12" t="s">
        <v>166</v>
      </c>
      <c r="P12" t="s">
        <v>280</v>
      </c>
    </row>
    <row r="13" spans="1:16" x14ac:dyDescent="0.25">
      <c r="B13" t="s">
        <v>141</v>
      </c>
      <c r="C13" t="s">
        <v>142</v>
      </c>
      <c r="D13" t="s">
        <v>145</v>
      </c>
      <c r="E13" t="s">
        <v>154</v>
      </c>
      <c r="F13" t="s">
        <v>167</v>
      </c>
      <c r="P13" t="s">
        <v>281</v>
      </c>
    </row>
    <row r="14" spans="1:16" x14ac:dyDescent="0.25">
      <c r="A14" t="s">
        <v>149</v>
      </c>
      <c r="B14" t="s">
        <v>140</v>
      </c>
      <c r="C14" t="s">
        <v>143</v>
      </c>
      <c r="D14" t="s">
        <v>144</v>
      </c>
      <c r="F14" t="s">
        <v>163</v>
      </c>
      <c r="P14" t="s">
        <v>283</v>
      </c>
    </row>
    <row r="15" spans="1:16" x14ac:dyDescent="0.25">
      <c r="B15" t="s">
        <v>141</v>
      </c>
      <c r="C15" t="s">
        <v>143</v>
      </c>
      <c r="D15" t="s">
        <v>144</v>
      </c>
      <c r="F15" t="s">
        <v>168</v>
      </c>
      <c r="P15" t="s">
        <v>288</v>
      </c>
    </row>
    <row r="16" spans="1:16" x14ac:dyDescent="0.25">
      <c r="B16" t="s">
        <v>140</v>
      </c>
      <c r="C16" t="s">
        <v>142</v>
      </c>
      <c r="D16" t="s">
        <v>144</v>
      </c>
      <c r="F16" t="s">
        <v>163</v>
      </c>
    </row>
    <row r="17" spans="1:103" x14ac:dyDescent="0.25">
      <c r="B17" t="s">
        <v>141</v>
      </c>
      <c r="C17" t="s">
        <v>142</v>
      </c>
      <c r="D17" t="s">
        <v>144</v>
      </c>
      <c r="F17" t="s">
        <v>168</v>
      </c>
      <c r="O17" t="s">
        <v>146</v>
      </c>
      <c r="P17" t="s">
        <v>266</v>
      </c>
      <c r="Q17" t="s">
        <v>267</v>
      </c>
      <c r="R17" t="s">
        <v>265</v>
      </c>
    </row>
    <row r="18" spans="1:103" x14ac:dyDescent="0.25">
      <c r="A18" t="s">
        <v>150</v>
      </c>
      <c r="B18" t="s">
        <v>140</v>
      </c>
      <c r="C18" t="s">
        <v>143</v>
      </c>
      <c r="D18" t="s">
        <v>145</v>
      </c>
      <c r="E18" t="s">
        <v>153</v>
      </c>
      <c r="F18" t="s">
        <v>164</v>
      </c>
      <c r="O18" t="s">
        <v>268</v>
      </c>
      <c r="P18" t="s">
        <v>284</v>
      </c>
      <c r="Q18" t="s">
        <v>286</v>
      </c>
      <c r="R18" t="s">
        <v>264</v>
      </c>
      <c r="S18" t="s">
        <v>272</v>
      </c>
    </row>
    <row r="19" spans="1:103" x14ac:dyDescent="0.25">
      <c r="B19" t="s">
        <v>141</v>
      </c>
      <c r="C19" t="s">
        <v>143</v>
      </c>
      <c r="D19" t="s">
        <v>145</v>
      </c>
      <c r="E19" t="s">
        <v>153</v>
      </c>
      <c r="F19" t="s">
        <v>169</v>
      </c>
      <c r="O19" t="s">
        <v>269</v>
      </c>
      <c r="P19" t="s">
        <v>284</v>
      </c>
      <c r="Q19" t="s">
        <v>287</v>
      </c>
      <c r="R19" t="s">
        <v>270</v>
      </c>
    </row>
    <row r="20" spans="1:103" x14ac:dyDescent="0.25">
      <c r="B20" t="s">
        <v>140</v>
      </c>
      <c r="C20" t="s">
        <v>143</v>
      </c>
      <c r="D20" t="s">
        <v>145</v>
      </c>
      <c r="E20" t="s">
        <v>154</v>
      </c>
      <c r="F20" t="s">
        <v>170</v>
      </c>
      <c r="O20" t="s">
        <v>271</v>
      </c>
      <c r="P20" t="s">
        <v>285</v>
      </c>
      <c r="Q20" t="s">
        <v>286</v>
      </c>
      <c r="R20" t="s">
        <v>278</v>
      </c>
    </row>
    <row r="21" spans="1:103" x14ac:dyDescent="0.25">
      <c r="B21" t="s">
        <v>141</v>
      </c>
      <c r="C21" t="s">
        <v>143</v>
      </c>
      <c r="D21" t="s">
        <v>145</v>
      </c>
      <c r="E21" t="s">
        <v>154</v>
      </c>
      <c r="F21" t="s">
        <v>171</v>
      </c>
      <c r="O21" t="s">
        <v>273</v>
      </c>
      <c r="P21" t="s">
        <v>285</v>
      </c>
      <c r="Q21" t="s">
        <v>287</v>
      </c>
      <c r="R21" t="s">
        <v>279</v>
      </c>
    </row>
    <row r="22" spans="1:103" x14ac:dyDescent="0.25">
      <c r="B22" t="s">
        <v>140</v>
      </c>
      <c r="C22" t="s">
        <v>142</v>
      </c>
      <c r="D22" t="s">
        <v>145</v>
      </c>
      <c r="E22" t="s">
        <v>153</v>
      </c>
      <c r="F22" t="s">
        <v>164</v>
      </c>
    </row>
    <row r="23" spans="1:103" x14ac:dyDescent="0.25">
      <c r="B23" t="s">
        <v>141</v>
      </c>
      <c r="C23" t="s">
        <v>142</v>
      </c>
      <c r="D23" t="s">
        <v>145</v>
      </c>
      <c r="E23" t="s">
        <v>153</v>
      </c>
      <c r="F23" t="s">
        <v>169</v>
      </c>
    </row>
    <row r="24" spans="1:103" x14ac:dyDescent="0.25">
      <c r="B24" t="s">
        <v>140</v>
      </c>
      <c r="C24" t="s">
        <v>142</v>
      </c>
      <c r="D24" t="s">
        <v>145</v>
      </c>
      <c r="E24" t="s">
        <v>154</v>
      </c>
      <c r="F24" t="s">
        <v>170</v>
      </c>
    </row>
    <row r="25" spans="1:103" x14ac:dyDescent="0.25">
      <c r="B25" t="s">
        <v>141</v>
      </c>
      <c r="C25" t="s">
        <v>142</v>
      </c>
      <c r="D25" t="s">
        <v>145</v>
      </c>
      <c r="E25" t="s">
        <v>154</v>
      </c>
      <c r="F25" t="s">
        <v>171</v>
      </c>
      <c r="O25" t="s">
        <v>276</v>
      </c>
      <c r="P25" t="s">
        <v>274</v>
      </c>
      <c r="Q25" t="s">
        <v>182</v>
      </c>
      <c r="R25" t="s">
        <v>183</v>
      </c>
      <c r="S25" t="s">
        <v>184</v>
      </c>
      <c r="T25" t="s">
        <v>185</v>
      </c>
      <c r="U25" t="s">
        <v>186</v>
      </c>
      <c r="V25" t="s">
        <v>187</v>
      </c>
      <c r="W25" t="s">
        <v>188</v>
      </c>
      <c r="X25" t="s">
        <v>189</v>
      </c>
      <c r="Y25" t="s">
        <v>190</v>
      </c>
      <c r="Z25" t="s">
        <v>191</v>
      </c>
      <c r="AA25" t="s">
        <v>192</v>
      </c>
      <c r="AB25" t="s">
        <v>193</v>
      </c>
      <c r="AC25" t="s">
        <v>194</v>
      </c>
      <c r="AD25" t="s">
        <v>195</v>
      </c>
      <c r="AE25" t="s">
        <v>196</v>
      </c>
      <c r="AF25" t="s">
        <v>197</v>
      </c>
      <c r="AG25" t="s">
        <v>198</v>
      </c>
      <c r="AH25" t="s">
        <v>199</v>
      </c>
      <c r="AI25" t="s">
        <v>200</v>
      </c>
      <c r="AJ25" t="s">
        <v>201</v>
      </c>
      <c r="AK25" t="s">
        <v>202</v>
      </c>
      <c r="AL25" t="s">
        <v>14</v>
      </c>
      <c r="AM25" t="s">
        <v>203</v>
      </c>
      <c r="AN25" t="s">
        <v>204</v>
      </c>
      <c r="AO25" t="s">
        <v>205</v>
      </c>
      <c r="AP25" t="s">
        <v>15</v>
      </c>
      <c r="AQ25" t="s">
        <v>16</v>
      </c>
      <c r="AR25" t="s">
        <v>206</v>
      </c>
      <c r="AS25" t="s">
        <v>207</v>
      </c>
      <c r="AT25" t="s">
        <v>208</v>
      </c>
      <c r="AU25" t="s">
        <v>209</v>
      </c>
      <c r="AV25" t="s">
        <v>210</v>
      </c>
      <c r="AW25" t="s">
        <v>211</v>
      </c>
      <c r="AX25" t="s">
        <v>212</v>
      </c>
      <c r="AY25" t="s">
        <v>213</v>
      </c>
      <c r="AZ25" t="s">
        <v>214</v>
      </c>
      <c r="BA25" t="s">
        <v>215</v>
      </c>
      <c r="BB25" t="s">
        <v>216</v>
      </c>
      <c r="BC25" t="s">
        <v>217</v>
      </c>
      <c r="BD25" t="s">
        <v>218</v>
      </c>
      <c r="BE25" t="s">
        <v>219</v>
      </c>
      <c r="BF25" t="s">
        <v>220</v>
      </c>
      <c r="BG25" t="s">
        <v>221</v>
      </c>
      <c r="BH25" t="s">
        <v>222</v>
      </c>
      <c r="BI25" t="s">
        <v>223</v>
      </c>
      <c r="BJ25" t="s">
        <v>224</v>
      </c>
      <c r="BK25" t="s">
        <v>225</v>
      </c>
      <c r="BL25" t="s">
        <v>140</v>
      </c>
      <c r="BM25" t="s">
        <v>275</v>
      </c>
      <c r="BN25" t="s">
        <v>227</v>
      </c>
      <c r="BO25" t="s">
        <v>228</v>
      </c>
      <c r="BP25" t="s">
        <v>229</v>
      </c>
      <c r="BQ25" t="s">
        <v>230</v>
      </c>
      <c r="BR25" t="s">
        <v>13</v>
      </c>
      <c r="BS25" t="s">
        <v>231</v>
      </c>
      <c r="BT25" t="s">
        <v>232</v>
      </c>
      <c r="BU25" t="s">
        <v>233</v>
      </c>
      <c r="BV25" t="s">
        <v>234</v>
      </c>
      <c r="BW25" t="s">
        <v>235</v>
      </c>
      <c r="BX25" t="s">
        <v>236</v>
      </c>
      <c r="BY25" t="s">
        <v>237</v>
      </c>
      <c r="BZ25" t="s">
        <v>238</v>
      </c>
      <c r="CA25" t="s">
        <v>239</v>
      </c>
      <c r="CB25" t="s">
        <v>240</v>
      </c>
      <c r="CC25" t="s">
        <v>241</v>
      </c>
      <c r="CD25" t="s">
        <v>242</v>
      </c>
      <c r="CE25" t="s">
        <v>243</v>
      </c>
      <c r="CF25" t="s">
        <v>244</v>
      </c>
      <c r="CG25" t="s">
        <v>245</v>
      </c>
      <c r="CH25" t="s">
        <v>246</v>
      </c>
      <c r="CI25" t="s">
        <v>247</v>
      </c>
      <c r="CJ25" t="s">
        <v>248</v>
      </c>
      <c r="CK25" t="s">
        <v>249</v>
      </c>
      <c r="CL25" t="s">
        <v>250</v>
      </c>
      <c r="CM25" t="s">
        <v>251</v>
      </c>
      <c r="CN25" t="s">
        <v>252</v>
      </c>
      <c r="CO25" t="s">
        <v>253</v>
      </c>
      <c r="CP25" t="s">
        <v>254</v>
      </c>
      <c r="CQ25" t="s">
        <v>255</v>
      </c>
      <c r="CR25" t="s">
        <v>256</v>
      </c>
      <c r="CS25" t="s">
        <v>257</v>
      </c>
      <c r="CT25" t="s">
        <v>258</v>
      </c>
      <c r="CU25" t="s">
        <v>259</v>
      </c>
      <c r="CV25" t="s">
        <v>260</v>
      </c>
      <c r="CW25" t="s">
        <v>261</v>
      </c>
      <c r="CX25" t="s">
        <v>262</v>
      </c>
      <c r="CY25" t="s">
        <v>263</v>
      </c>
    </row>
    <row r="26" spans="1:103" x14ac:dyDescent="0.25">
      <c r="A26" t="s">
        <v>151</v>
      </c>
      <c r="B26" t="s">
        <v>140</v>
      </c>
      <c r="C26" t="s">
        <v>143</v>
      </c>
      <c r="D26" t="s">
        <v>144</v>
      </c>
      <c r="F26" t="s">
        <v>172</v>
      </c>
      <c r="P26">
        <v>1</v>
      </c>
      <c r="Q26">
        <v>0</v>
      </c>
      <c r="R26">
        <v>15574</v>
      </c>
      <c r="S26">
        <v>0.47425978829999998</v>
      </c>
      <c r="T26">
        <v>0.72963044349999995</v>
      </c>
      <c r="U26">
        <v>0.72963044349999995</v>
      </c>
      <c r="V26">
        <v>1.3619768278</v>
      </c>
      <c r="W26">
        <v>1</v>
      </c>
      <c r="X26">
        <v>10</v>
      </c>
      <c r="Y26">
        <v>4923</v>
      </c>
      <c r="Z26">
        <v>9836</v>
      </c>
      <c r="AA26">
        <v>2</v>
      </c>
      <c r="AB26" t="b">
        <v>1</v>
      </c>
      <c r="AC26">
        <v>22.500900022</v>
      </c>
      <c r="AD26" t="b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4.2765087632999998</v>
      </c>
      <c r="AL26">
        <v>1</v>
      </c>
      <c r="AM26">
        <v>0</v>
      </c>
      <c r="AN26">
        <v>0</v>
      </c>
      <c r="AO26">
        <v>4.6093262558000001</v>
      </c>
      <c r="AP26">
        <v>3.7330507112000002</v>
      </c>
      <c r="AQ26">
        <v>1</v>
      </c>
      <c r="AR26">
        <v>31.236509071</v>
      </c>
      <c r="AS26">
        <v>128.50539626</v>
      </c>
      <c r="AT26">
        <v>0</v>
      </c>
      <c r="AU26">
        <v>7.2</v>
      </c>
      <c r="AV26">
        <v>5.5555555555999998</v>
      </c>
      <c r="AW26">
        <v>2.7972027972000002</v>
      </c>
      <c r="AX26">
        <v>111.88811189</v>
      </c>
      <c r="AY26">
        <v>40</v>
      </c>
      <c r="AZ26">
        <v>15.540015540000001</v>
      </c>
      <c r="BA26">
        <v>1.3619768278</v>
      </c>
      <c r="BB26">
        <v>1.0939112487</v>
      </c>
      <c r="BC26">
        <v>1.1320754716999999</v>
      </c>
      <c r="BD26">
        <v>0.27106466359999998</v>
      </c>
      <c r="BE26">
        <v>0.6265060241</v>
      </c>
      <c r="BF26">
        <v>0.35739594969999999</v>
      </c>
      <c r="BG26">
        <v>0.81029551950000001</v>
      </c>
      <c r="BH26">
        <v>0</v>
      </c>
      <c r="BI26">
        <v>0.7</v>
      </c>
      <c r="BJ26">
        <v>0</v>
      </c>
      <c r="BK26">
        <v>0.2141801646</v>
      </c>
      <c r="BL26">
        <v>0.22305017569999999</v>
      </c>
      <c r="BM26">
        <v>0.48427672955974799</v>
      </c>
      <c r="BN26">
        <v>1</v>
      </c>
      <c r="BO26">
        <v>0.30893719419999999</v>
      </c>
      <c r="BP26">
        <v>1.3619768278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1.3619768278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1.3619768278</v>
      </c>
      <c r="CJ26">
        <v>0</v>
      </c>
      <c r="CK26">
        <v>0</v>
      </c>
      <c r="CL26">
        <v>6.3053249328999996</v>
      </c>
      <c r="CM26">
        <v>25.417330572000001</v>
      </c>
      <c r="CN26">
        <v>152.9775659</v>
      </c>
      <c r="CO26">
        <v>6.1061455048999997</v>
      </c>
      <c r="CP26" s="9">
        <v>11.309644092999999</v>
      </c>
      <c r="CQ26" s="9">
        <v>28.466075715999999</v>
      </c>
      <c r="CR26" s="9">
        <v>176.67565970999999</v>
      </c>
      <c r="CS26" s="9">
        <v>4.4632230586999997</v>
      </c>
      <c r="CT26">
        <v>0</v>
      </c>
      <c r="CU26">
        <v>1</v>
      </c>
      <c r="CV26">
        <v>0</v>
      </c>
      <c r="CW26">
        <v>0.73422688229999999</v>
      </c>
      <c r="CX26">
        <v>0.30893719419999999</v>
      </c>
      <c r="CY26">
        <v>4</v>
      </c>
    </row>
    <row r="27" spans="1:103" x14ac:dyDescent="0.25">
      <c r="B27" t="s">
        <v>141</v>
      </c>
      <c r="C27" t="s">
        <v>143</v>
      </c>
      <c r="D27" t="s">
        <v>144</v>
      </c>
      <c r="F27" t="s">
        <v>173</v>
      </c>
      <c r="P27">
        <v>2</v>
      </c>
      <c r="Q27">
        <v>0</v>
      </c>
      <c r="R27">
        <v>15574</v>
      </c>
      <c r="S27">
        <v>0.47425978829999998</v>
      </c>
      <c r="T27">
        <v>0.72963044349999995</v>
      </c>
      <c r="U27">
        <v>0.72963044349999995</v>
      </c>
      <c r="V27">
        <v>1.3619768278</v>
      </c>
      <c r="W27">
        <v>1</v>
      </c>
      <c r="X27">
        <v>10</v>
      </c>
      <c r="Y27">
        <v>4923</v>
      </c>
      <c r="Z27">
        <v>9836</v>
      </c>
      <c r="AA27">
        <v>2</v>
      </c>
      <c r="AB27" t="b">
        <v>1</v>
      </c>
      <c r="AC27">
        <v>22.500900022</v>
      </c>
      <c r="AD27" t="b">
        <v>0</v>
      </c>
      <c r="AE27">
        <v>1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4.2765087632999998</v>
      </c>
      <c r="AL27">
        <v>1</v>
      </c>
      <c r="AM27">
        <v>0</v>
      </c>
      <c r="AN27">
        <v>0</v>
      </c>
      <c r="AO27">
        <v>4.6093262558000001</v>
      </c>
      <c r="AP27">
        <v>3.7330507112000002</v>
      </c>
      <c r="AQ27">
        <v>1</v>
      </c>
      <c r="AR27">
        <v>31.236509071</v>
      </c>
      <c r="AS27">
        <v>128.50539626</v>
      </c>
      <c r="AT27">
        <v>0</v>
      </c>
      <c r="AU27">
        <v>7.2</v>
      </c>
      <c r="AV27">
        <v>5.5555555555999998</v>
      </c>
      <c r="AW27">
        <v>2.7972027972000002</v>
      </c>
      <c r="AX27">
        <v>111.88811189</v>
      </c>
      <c r="AY27">
        <v>40</v>
      </c>
      <c r="AZ27">
        <v>15.540015540000001</v>
      </c>
      <c r="BA27">
        <v>1.3619768278</v>
      </c>
      <c r="BB27">
        <v>1.0939112487</v>
      </c>
      <c r="BC27">
        <v>1.1320754716999999</v>
      </c>
      <c r="BD27">
        <v>0.27106466359999998</v>
      </c>
      <c r="BE27">
        <v>0.6265060241</v>
      </c>
      <c r="BF27">
        <v>0.35739594969999999</v>
      </c>
      <c r="BG27">
        <v>0.81029551950000001</v>
      </c>
      <c r="BH27">
        <v>0</v>
      </c>
      <c r="BI27">
        <v>0.7</v>
      </c>
      <c r="BJ27">
        <v>0</v>
      </c>
      <c r="BK27">
        <v>0.2141801646</v>
      </c>
      <c r="BL27">
        <v>0.22305017569999999</v>
      </c>
      <c r="BM27">
        <v>0.48427672955974799</v>
      </c>
      <c r="BN27">
        <v>1</v>
      </c>
      <c r="BO27">
        <v>0.30893719419999999</v>
      </c>
      <c r="BP27">
        <v>1.3619768278</v>
      </c>
      <c r="BQ27">
        <v>1</v>
      </c>
      <c r="BR27">
        <v>0</v>
      </c>
      <c r="BS27">
        <v>1</v>
      </c>
      <c r="BT27">
        <v>0</v>
      </c>
      <c r="BU27">
        <v>0</v>
      </c>
      <c r="BV27">
        <v>1.3619768278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1.3619768278</v>
      </c>
      <c r="CJ27">
        <v>0</v>
      </c>
      <c r="CK27">
        <v>0</v>
      </c>
      <c r="CL27">
        <v>6.3053249328999996</v>
      </c>
      <c r="CM27">
        <v>25.417330572000001</v>
      </c>
      <c r="CN27">
        <v>152.9775659</v>
      </c>
      <c r="CO27">
        <v>6.1061455048999997</v>
      </c>
      <c r="CP27" s="9">
        <v>11.615531259999999</v>
      </c>
      <c r="CQ27" s="9">
        <v>18.617806727000001</v>
      </c>
      <c r="CR27" s="9">
        <v>188.53708179</v>
      </c>
      <c r="CS27" s="9">
        <v>4.9220427235999997</v>
      </c>
      <c r="CT27">
        <v>0</v>
      </c>
      <c r="CU27">
        <v>1</v>
      </c>
      <c r="CV27">
        <v>0</v>
      </c>
      <c r="CW27">
        <v>0.73422688229999999</v>
      </c>
      <c r="CX27">
        <v>0.30893719419999999</v>
      </c>
      <c r="CY27">
        <v>4</v>
      </c>
    </row>
    <row r="28" spans="1:103" x14ac:dyDescent="0.25">
      <c r="B28" t="s">
        <v>140</v>
      </c>
      <c r="C28" t="s">
        <v>142</v>
      </c>
      <c r="D28" t="s">
        <v>144</v>
      </c>
      <c r="F28" t="s">
        <v>172</v>
      </c>
      <c r="K28" s="8"/>
      <c r="L28" s="8"/>
      <c r="P28">
        <v>3</v>
      </c>
      <c r="Q28">
        <v>0</v>
      </c>
      <c r="R28">
        <v>15574</v>
      </c>
      <c r="S28">
        <v>0.47425978829999998</v>
      </c>
      <c r="T28">
        <v>0.72963044349999995</v>
      </c>
      <c r="U28">
        <v>0.72963044349999995</v>
      </c>
      <c r="V28">
        <v>1.3619768278</v>
      </c>
      <c r="W28">
        <v>1</v>
      </c>
      <c r="X28">
        <v>10</v>
      </c>
      <c r="Y28">
        <v>4923</v>
      </c>
      <c r="Z28">
        <v>9836</v>
      </c>
      <c r="AA28">
        <v>2</v>
      </c>
      <c r="AB28" t="b">
        <v>1</v>
      </c>
      <c r="AC28">
        <v>22.500900022</v>
      </c>
      <c r="AD28" t="b">
        <v>0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4.2765087632999998</v>
      </c>
      <c r="AL28">
        <v>1</v>
      </c>
      <c r="AM28">
        <v>0</v>
      </c>
      <c r="AN28">
        <v>0</v>
      </c>
      <c r="AO28">
        <v>4.6093262558000001</v>
      </c>
      <c r="AP28">
        <v>3.7330507112000002</v>
      </c>
      <c r="AQ28">
        <v>1</v>
      </c>
      <c r="AR28">
        <v>31.236509071</v>
      </c>
      <c r="AS28">
        <v>128.50539626</v>
      </c>
      <c r="AT28">
        <v>0</v>
      </c>
      <c r="AU28">
        <v>7.2</v>
      </c>
      <c r="AV28">
        <v>5.5555555555999998</v>
      </c>
      <c r="AW28">
        <v>2.7972027972000002</v>
      </c>
      <c r="AX28">
        <v>111.88811189</v>
      </c>
      <c r="AY28">
        <v>40</v>
      </c>
      <c r="AZ28">
        <v>15.540015540000001</v>
      </c>
      <c r="BA28">
        <v>1.3619768278</v>
      </c>
      <c r="BB28">
        <v>1.0939112487</v>
      </c>
      <c r="BC28">
        <v>1.1320754716999999</v>
      </c>
      <c r="BD28">
        <v>0.27106466359999998</v>
      </c>
      <c r="BE28">
        <v>0.6265060241</v>
      </c>
      <c r="BF28">
        <v>0.35739594969999999</v>
      </c>
      <c r="BG28">
        <v>0.81029551950000001</v>
      </c>
      <c r="BH28">
        <v>0</v>
      </c>
      <c r="BI28">
        <v>0.7</v>
      </c>
      <c r="BJ28">
        <v>0</v>
      </c>
      <c r="BK28">
        <v>0.2141801646</v>
      </c>
      <c r="BL28">
        <v>0.22305017569999999</v>
      </c>
      <c r="BM28">
        <v>0.48427672955974799</v>
      </c>
      <c r="BN28">
        <v>1</v>
      </c>
      <c r="BO28">
        <v>0.30893719419999999</v>
      </c>
      <c r="BP28">
        <v>1.3619768278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1.3619768278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1.3619768278</v>
      </c>
      <c r="CJ28">
        <v>0</v>
      </c>
      <c r="CK28">
        <v>0</v>
      </c>
      <c r="CL28">
        <v>6.3053249328999996</v>
      </c>
      <c r="CM28">
        <v>25.417330572000001</v>
      </c>
      <c r="CN28">
        <v>152.9775659</v>
      </c>
      <c r="CO28">
        <v>6.1061455048999997</v>
      </c>
      <c r="CP28" s="9">
        <v>11.586932937</v>
      </c>
      <c r="CQ28" s="9">
        <v>37.360174839999999</v>
      </c>
      <c r="CR28" s="9">
        <v>179.69362704</v>
      </c>
      <c r="CS28" s="9">
        <v>5.6067679113000004</v>
      </c>
      <c r="CT28">
        <v>0</v>
      </c>
      <c r="CU28">
        <v>1</v>
      </c>
      <c r="CV28">
        <v>0</v>
      </c>
      <c r="CW28">
        <v>0.73422688229999999</v>
      </c>
      <c r="CX28">
        <v>0.30893719419999999</v>
      </c>
      <c r="CY28">
        <v>4</v>
      </c>
    </row>
    <row r="29" spans="1:103" x14ac:dyDescent="0.25">
      <c r="B29" t="s">
        <v>141</v>
      </c>
      <c r="C29" t="s">
        <v>142</v>
      </c>
      <c r="D29" t="s">
        <v>144</v>
      </c>
      <c r="F29" t="s">
        <v>173</v>
      </c>
      <c r="P29">
        <v>4</v>
      </c>
      <c r="Q29">
        <v>0</v>
      </c>
      <c r="R29">
        <v>15574</v>
      </c>
      <c r="S29">
        <v>0.47425978829999998</v>
      </c>
      <c r="T29">
        <v>0.72963044349999995</v>
      </c>
      <c r="U29">
        <v>0.72963044349999995</v>
      </c>
      <c r="V29">
        <v>1.3619768278</v>
      </c>
      <c r="W29">
        <v>1</v>
      </c>
      <c r="X29">
        <v>10</v>
      </c>
      <c r="Y29">
        <v>4923</v>
      </c>
      <c r="Z29">
        <v>9836</v>
      </c>
      <c r="AA29">
        <v>2</v>
      </c>
      <c r="AB29" t="b">
        <v>1</v>
      </c>
      <c r="AC29">
        <v>22.500900022</v>
      </c>
      <c r="AD29" t="b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4.2765087632999998</v>
      </c>
      <c r="AL29">
        <v>1</v>
      </c>
      <c r="AM29">
        <v>0</v>
      </c>
      <c r="AN29">
        <v>0</v>
      </c>
      <c r="AO29">
        <v>4.6093262558000001</v>
      </c>
      <c r="AP29">
        <v>3.7330507112000002</v>
      </c>
      <c r="AQ29">
        <v>1</v>
      </c>
      <c r="AR29">
        <v>31.236509071</v>
      </c>
      <c r="AS29">
        <v>128.50539626</v>
      </c>
      <c r="AT29">
        <v>0</v>
      </c>
      <c r="AU29">
        <v>7.2</v>
      </c>
      <c r="AV29">
        <v>5.5555555555999998</v>
      </c>
      <c r="AW29">
        <v>2.7972027972000002</v>
      </c>
      <c r="AX29">
        <v>111.88811189</v>
      </c>
      <c r="AY29">
        <v>40</v>
      </c>
      <c r="AZ29">
        <v>15.540015540000001</v>
      </c>
      <c r="BA29">
        <v>1.3619768278</v>
      </c>
      <c r="BB29">
        <v>1.0939112487</v>
      </c>
      <c r="BC29">
        <v>1.1320754716999999</v>
      </c>
      <c r="BD29">
        <v>0.27106466359999998</v>
      </c>
      <c r="BE29">
        <v>0.6265060241</v>
      </c>
      <c r="BF29">
        <v>0.35739594969999999</v>
      </c>
      <c r="BG29">
        <v>0.81029551950000001</v>
      </c>
      <c r="BH29">
        <v>0</v>
      </c>
      <c r="BI29">
        <v>0.7</v>
      </c>
      <c r="BJ29">
        <v>0</v>
      </c>
      <c r="BK29">
        <v>0.2141801646</v>
      </c>
      <c r="BL29">
        <v>0.22305017569999999</v>
      </c>
      <c r="BM29">
        <v>0.48427672955974799</v>
      </c>
      <c r="BN29">
        <v>1</v>
      </c>
      <c r="BO29">
        <v>0.30893719419999999</v>
      </c>
      <c r="BP29">
        <v>1.3619768278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1.3619768278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1.3619768278</v>
      </c>
      <c r="CJ29">
        <v>0</v>
      </c>
      <c r="CK29">
        <v>0</v>
      </c>
      <c r="CL29">
        <v>6.3053249328999996</v>
      </c>
      <c r="CM29">
        <v>25.417330572000001</v>
      </c>
      <c r="CN29">
        <v>152.9775659</v>
      </c>
      <c r="CO29">
        <v>6.1061455048999997</v>
      </c>
      <c r="CP29" s="9">
        <v>11.761208402999999</v>
      </c>
      <c r="CQ29" s="9">
        <v>15.61834211</v>
      </c>
      <c r="CR29" s="9">
        <v>186.83621690000001</v>
      </c>
      <c r="CS29" s="9">
        <v>4.7182863023000001</v>
      </c>
      <c r="CT29">
        <v>0</v>
      </c>
      <c r="CU29">
        <v>1</v>
      </c>
      <c r="CV29">
        <v>0</v>
      </c>
      <c r="CW29">
        <v>0.73422688229999999</v>
      </c>
      <c r="CX29">
        <v>0.30893719419999999</v>
      </c>
      <c r="CY29">
        <v>4</v>
      </c>
    </row>
    <row r="30" spans="1:103" x14ac:dyDescent="0.25">
      <c r="A30" t="s">
        <v>152</v>
      </c>
      <c r="B30" t="s">
        <v>140</v>
      </c>
      <c r="C30" t="s">
        <v>143</v>
      </c>
      <c r="D30" t="s">
        <v>145</v>
      </c>
      <c r="E30" t="s">
        <v>153</v>
      </c>
      <c r="F30" t="s">
        <v>174</v>
      </c>
      <c r="K30" s="8"/>
      <c r="L30" s="8"/>
      <c r="P30">
        <v>5</v>
      </c>
      <c r="Q30">
        <v>0</v>
      </c>
      <c r="R30">
        <v>15574</v>
      </c>
      <c r="S30">
        <v>0.47425978829999998</v>
      </c>
      <c r="T30">
        <v>0.72963044349999995</v>
      </c>
      <c r="U30">
        <v>0.72963044349999995</v>
      </c>
      <c r="V30">
        <v>1.3619768278</v>
      </c>
      <c r="W30">
        <v>1</v>
      </c>
      <c r="X30">
        <v>10</v>
      </c>
      <c r="Y30">
        <v>4923</v>
      </c>
      <c r="Z30">
        <v>9836</v>
      </c>
      <c r="AA30">
        <v>2</v>
      </c>
      <c r="AB30" t="b">
        <v>1</v>
      </c>
      <c r="AC30">
        <v>22.500900022</v>
      </c>
      <c r="AD30" t="b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4.2765087632999998</v>
      </c>
      <c r="AL30">
        <v>1</v>
      </c>
      <c r="AM30">
        <v>0</v>
      </c>
      <c r="AN30">
        <v>0</v>
      </c>
      <c r="AO30">
        <v>4.6093262558000001</v>
      </c>
      <c r="AP30">
        <v>3.7330507112000002</v>
      </c>
      <c r="AQ30">
        <v>1</v>
      </c>
      <c r="AR30">
        <v>31.236509071</v>
      </c>
      <c r="AS30">
        <v>128.50539626</v>
      </c>
      <c r="AT30">
        <v>0</v>
      </c>
      <c r="AU30">
        <v>7.2</v>
      </c>
      <c r="AV30">
        <v>5.5555555555999998</v>
      </c>
      <c r="AW30">
        <v>2.7972027972000002</v>
      </c>
      <c r="AX30">
        <v>111.88811189</v>
      </c>
      <c r="AY30">
        <v>40</v>
      </c>
      <c r="AZ30">
        <v>15.540015540000001</v>
      </c>
      <c r="BA30">
        <v>1.3619768278</v>
      </c>
      <c r="BB30">
        <v>1.0939112487</v>
      </c>
      <c r="BC30">
        <v>1.1320754716999999</v>
      </c>
      <c r="BD30">
        <v>0.27106466359999998</v>
      </c>
      <c r="BE30">
        <v>0.6265060241</v>
      </c>
      <c r="BF30">
        <v>0.35739594969999999</v>
      </c>
      <c r="BG30">
        <v>0.81029551950000001</v>
      </c>
      <c r="BH30">
        <v>0</v>
      </c>
      <c r="BI30">
        <v>0.7</v>
      </c>
      <c r="BJ30">
        <v>0</v>
      </c>
      <c r="BK30">
        <v>0.2141801646</v>
      </c>
      <c r="BL30">
        <v>0.22305017569999999</v>
      </c>
      <c r="BM30">
        <v>0.48427672955974799</v>
      </c>
      <c r="BN30">
        <v>1</v>
      </c>
      <c r="BO30">
        <v>0.30893719419999999</v>
      </c>
      <c r="BP30">
        <v>1.3619768278</v>
      </c>
      <c r="BQ30">
        <v>1</v>
      </c>
      <c r="BR30">
        <v>0</v>
      </c>
      <c r="BS30">
        <v>1</v>
      </c>
      <c r="BT30">
        <v>0</v>
      </c>
      <c r="BU30">
        <v>0</v>
      </c>
      <c r="BV30">
        <v>1.3619768278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1.3619768278</v>
      </c>
      <c r="CJ30">
        <v>0</v>
      </c>
      <c r="CK30">
        <v>0</v>
      </c>
      <c r="CL30">
        <v>6.3053249328999996</v>
      </c>
      <c r="CM30">
        <v>25.417330572000001</v>
      </c>
      <c r="CN30">
        <v>152.9775659</v>
      </c>
      <c r="CO30">
        <v>6.1061455048999997</v>
      </c>
      <c r="CP30" s="9">
        <v>11.159908489999999</v>
      </c>
      <c r="CQ30" s="9">
        <v>38.873222941999998</v>
      </c>
      <c r="CR30" s="9">
        <v>184.96751158000001</v>
      </c>
      <c r="CS30" s="9">
        <v>5.0169963301999996</v>
      </c>
      <c r="CT30">
        <v>0</v>
      </c>
      <c r="CU30">
        <v>1</v>
      </c>
      <c r="CV30">
        <v>0</v>
      </c>
      <c r="CW30">
        <v>0.73422688229999999</v>
      </c>
      <c r="CX30">
        <v>0.30893719419999999</v>
      </c>
      <c r="CY30">
        <v>4</v>
      </c>
    </row>
    <row r="31" spans="1:103" x14ac:dyDescent="0.25">
      <c r="B31" t="s">
        <v>141</v>
      </c>
      <c r="C31" t="s">
        <v>143</v>
      </c>
      <c r="D31" t="s">
        <v>145</v>
      </c>
      <c r="E31" t="s">
        <v>153</v>
      </c>
      <c r="F31" t="s">
        <v>175</v>
      </c>
    </row>
    <row r="32" spans="1:103" x14ac:dyDescent="0.25">
      <c r="B32" t="s">
        <v>140</v>
      </c>
      <c r="C32" t="s">
        <v>143</v>
      </c>
      <c r="D32" t="s">
        <v>145</v>
      </c>
      <c r="E32" t="s">
        <v>154</v>
      </c>
      <c r="F32" t="s">
        <v>176</v>
      </c>
      <c r="O32" t="s">
        <v>277</v>
      </c>
      <c r="P32" t="s">
        <v>274</v>
      </c>
      <c r="Q32" t="s">
        <v>182</v>
      </c>
      <c r="R32" t="s">
        <v>183</v>
      </c>
      <c r="S32" t="s">
        <v>184</v>
      </c>
      <c r="T32" t="s">
        <v>185</v>
      </c>
      <c r="U32" t="s">
        <v>186</v>
      </c>
      <c r="V32" t="s">
        <v>187</v>
      </c>
      <c r="W32" t="s">
        <v>188</v>
      </c>
      <c r="X32" t="s">
        <v>189</v>
      </c>
      <c r="Y32" t="s">
        <v>190</v>
      </c>
      <c r="Z32" t="s">
        <v>191</v>
      </c>
      <c r="AA32" t="s">
        <v>192</v>
      </c>
      <c r="AB32" t="s">
        <v>193</v>
      </c>
      <c r="AC32" t="s">
        <v>194</v>
      </c>
      <c r="AD32" t="s">
        <v>195</v>
      </c>
      <c r="AE32" t="s">
        <v>196</v>
      </c>
      <c r="AF32" t="s">
        <v>197</v>
      </c>
      <c r="AG32" t="s">
        <v>198</v>
      </c>
      <c r="AH32" t="s">
        <v>199</v>
      </c>
      <c r="AI32" t="s">
        <v>200</v>
      </c>
      <c r="AJ32" t="s">
        <v>201</v>
      </c>
      <c r="AK32" t="s">
        <v>202</v>
      </c>
      <c r="AL32" t="s">
        <v>14</v>
      </c>
      <c r="AM32" t="s">
        <v>203</v>
      </c>
      <c r="AN32" t="s">
        <v>204</v>
      </c>
      <c r="AO32" t="s">
        <v>205</v>
      </c>
      <c r="AP32" t="s">
        <v>15</v>
      </c>
      <c r="AQ32" t="s">
        <v>16</v>
      </c>
      <c r="AR32" t="s">
        <v>206</v>
      </c>
      <c r="AS32" t="s">
        <v>207</v>
      </c>
      <c r="AT32" t="s">
        <v>208</v>
      </c>
      <c r="AU32" t="s">
        <v>209</v>
      </c>
      <c r="AV32" t="s">
        <v>210</v>
      </c>
      <c r="AW32" t="s">
        <v>211</v>
      </c>
      <c r="AX32" t="s">
        <v>212</v>
      </c>
      <c r="AY32" t="s">
        <v>213</v>
      </c>
      <c r="AZ32" t="s">
        <v>214</v>
      </c>
      <c r="BA32" t="s">
        <v>215</v>
      </c>
      <c r="BB32" t="s">
        <v>216</v>
      </c>
      <c r="BC32" t="s">
        <v>217</v>
      </c>
      <c r="BD32" t="s">
        <v>218</v>
      </c>
      <c r="BE32" t="s">
        <v>219</v>
      </c>
      <c r="BF32" t="s">
        <v>220</v>
      </c>
      <c r="BG32" t="s">
        <v>221</v>
      </c>
      <c r="BH32" t="s">
        <v>222</v>
      </c>
      <c r="BI32" t="s">
        <v>223</v>
      </c>
      <c r="BJ32" t="s">
        <v>224</v>
      </c>
      <c r="BK32" t="s">
        <v>225</v>
      </c>
      <c r="BL32" t="s">
        <v>140</v>
      </c>
      <c r="BM32" t="s">
        <v>275</v>
      </c>
      <c r="BN32" t="s">
        <v>227</v>
      </c>
      <c r="BO32" t="s">
        <v>228</v>
      </c>
      <c r="BP32" t="s">
        <v>229</v>
      </c>
      <c r="BQ32" t="s">
        <v>230</v>
      </c>
      <c r="BR32" t="s">
        <v>13</v>
      </c>
      <c r="BS32" t="s">
        <v>231</v>
      </c>
      <c r="BT32" t="s">
        <v>232</v>
      </c>
      <c r="BU32" t="s">
        <v>233</v>
      </c>
      <c r="BV32" t="s">
        <v>234</v>
      </c>
      <c r="BW32" t="s">
        <v>235</v>
      </c>
      <c r="BX32" t="s">
        <v>236</v>
      </c>
      <c r="BY32" t="s">
        <v>237</v>
      </c>
      <c r="BZ32" t="s">
        <v>238</v>
      </c>
      <c r="CA32" t="s">
        <v>239</v>
      </c>
      <c r="CB32" t="s">
        <v>240</v>
      </c>
      <c r="CC32" t="s">
        <v>241</v>
      </c>
      <c r="CD32" t="s">
        <v>242</v>
      </c>
      <c r="CE32" t="s">
        <v>243</v>
      </c>
      <c r="CF32" t="s">
        <v>244</v>
      </c>
      <c r="CG32" t="s">
        <v>245</v>
      </c>
      <c r="CH32" t="s">
        <v>246</v>
      </c>
      <c r="CI32" t="s">
        <v>247</v>
      </c>
      <c r="CJ32" t="s">
        <v>248</v>
      </c>
      <c r="CK32" t="s">
        <v>249</v>
      </c>
      <c r="CL32" t="s">
        <v>250</v>
      </c>
      <c r="CM32" t="s">
        <v>251</v>
      </c>
      <c r="CN32" t="s">
        <v>252</v>
      </c>
      <c r="CO32" t="s">
        <v>253</v>
      </c>
      <c r="CP32" t="s">
        <v>254</v>
      </c>
      <c r="CQ32" t="s">
        <v>255</v>
      </c>
      <c r="CR32" t="s">
        <v>256</v>
      </c>
      <c r="CS32" t="s">
        <v>257</v>
      </c>
      <c r="CT32" t="s">
        <v>258</v>
      </c>
      <c r="CU32" t="s">
        <v>259</v>
      </c>
      <c r="CV32" t="s">
        <v>260</v>
      </c>
      <c r="CW32" t="s">
        <v>261</v>
      </c>
      <c r="CX32" t="s">
        <v>262</v>
      </c>
      <c r="CY32" t="s">
        <v>263</v>
      </c>
    </row>
    <row r="33" spans="1:103" x14ac:dyDescent="0.25">
      <c r="B33" t="s">
        <v>141</v>
      </c>
      <c r="C33" t="s">
        <v>143</v>
      </c>
      <c r="D33" t="s">
        <v>145</v>
      </c>
      <c r="E33" t="s">
        <v>154</v>
      </c>
      <c r="F33" t="s">
        <v>177</v>
      </c>
      <c r="P33">
        <v>1</v>
      </c>
      <c r="Q33">
        <v>0</v>
      </c>
      <c r="R33">
        <v>15574</v>
      </c>
      <c r="S33">
        <v>0.47425978829999998</v>
      </c>
      <c r="T33">
        <v>0.72963044349999995</v>
      </c>
      <c r="U33">
        <v>0.72963044349999995</v>
      </c>
      <c r="V33">
        <v>1.3619768278</v>
      </c>
      <c r="W33">
        <v>1</v>
      </c>
      <c r="X33">
        <v>10</v>
      </c>
      <c r="Y33">
        <v>4923</v>
      </c>
      <c r="Z33">
        <v>9836</v>
      </c>
      <c r="AA33">
        <v>2</v>
      </c>
      <c r="AB33" t="b">
        <v>1</v>
      </c>
      <c r="AC33">
        <v>22.500900022</v>
      </c>
      <c r="AD33" t="b">
        <v>0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4.2765087632999998</v>
      </c>
      <c r="AL33">
        <v>1</v>
      </c>
      <c r="AM33">
        <v>0</v>
      </c>
      <c r="AN33">
        <v>0</v>
      </c>
      <c r="AO33">
        <v>4.6093262558000001</v>
      </c>
      <c r="AP33">
        <v>3.7330507112000002</v>
      </c>
      <c r="AQ33">
        <v>1</v>
      </c>
      <c r="AR33">
        <v>31.236509071</v>
      </c>
      <c r="AS33">
        <v>128.50539626</v>
      </c>
      <c r="AT33">
        <v>0</v>
      </c>
      <c r="AU33">
        <v>7.2</v>
      </c>
      <c r="AV33">
        <v>5.5555555555999998</v>
      </c>
      <c r="AW33">
        <v>2.7972027972000002</v>
      </c>
      <c r="AX33">
        <v>111.88811189</v>
      </c>
      <c r="AY33">
        <v>40</v>
      </c>
      <c r="AZ33">
        <v>15.540015540000001</v>
      </c>
      <c r="BA33">
        <v>1.3619768278</v>
      </c>
      <c r="BB33">
        <v>1.0939112487</v>
      </c>
      <c r="BC33">
        <v>1.1320754716999999</v>
      </c>
      <c r="BD33">
        <v>0.27106466359999998</v>
      </c>
      <c r="BE33">
        <v>0.6265060241</v>
      </c>
      <c r="BF33">
        <v>0.35739594969999999</v>
      </c>
      <c r="BG33">
        <v>0.81029551950000001</v>
      </c>
      <c r="BH33">
        <v>0</v>
      </c>
      <c r="BI33">
        <v>0.7</v>
      </c>
      <c r="BJ33">
        <v>0</v>
      </c>
      <c r="BK33">
        <v>0.2141801646</v>
      </c>
      <c r="BL33">
        <v>0.22305017569999999</v>
      </c>
      <c r="BM33">
        <v>0.48427672955974799</v>
      </c>
      <c r="BN33">
        <v>1</v>
      </c>
      <c r="BO33">
        <v>0.30893719419999999</v>
      </c>
      <c r="BP33">
        <v>1.3619768278</v>
      </c>
      <c r="BQ33">
        <v>1</v>
      </c>
      <c r="BR33">
        <v>0</v>
      </c>
      <c r="BS33">
        <v>1</v>
      </c>
      <c r="BT33">
        <v>0</v>
      </c>
      <c r="BU33">
        <v>0</v>
      </c>
      <c r="BV33">
        <v>1.3619768278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1.3619768278</v>
      </c>
      <c r="CJ33">
        <v>0</v>
      </c>
      <c r="CK33">
        <v>0</v>
      </c>
      <c r="CL33">
        <v>6.3053249328999996</v>
      </c>
      <c r="CM33">
        <v>25.417330572000001</v>
      </c>
      <c r="CN33">
        <v>152.9775659</v>
      </c>
      <c r="CO33">
        <v>6.1061455048999997</v>
      </c>
      <c r="CP33" s="9">
        <v>11.309644092999999</v>
      </c>
      <c r="CQ33" s="9">
        <v>28.466075715999999</v>
      </c>
      <c r="CR33" s="9">
        <v>176.67565970999999</v>
      </c>
      <c r="CS33" s="9">
        <v>4.4632230586999997</v>
      </c>
      <c r="CT33">
        <v>0</v>
      </c>
      <c r="CU33">
        <v>1</v>
      </c>
      <c r="CV33">
        <v>0</v>
      </c>
      <c r="CW33">
        <v>0.73422688229999999</v>
      </c>
      <c r="CX33">
        <v>0.30893719419999999</v>
      </c>
      <c r="CY33">
        <v>4</v>
      </c>
    </row>
    <row r="34" spans="1:103" x14ac:dyDescent="0.25">
      <c r="B34" t="s">
        <v>140</v>
      </c>
      <c r="C34" t="s">
        <v>142</v>
      </c>
      <c r="D34" t="s">
        <v>145</v>
      </c>
      <c r="E34" t="s">
        <v>153</v>
      </c>
      <c r="F34" t="s">
        <v>174</v>
      </c>
      <c r="P34">
        <v>2</v>
      </c>
      <c r="Q34">
        <v>0</v>
      </c>
      <c r="R34">
        <v>15574</v>
      </c>
      <c r="S34">
        <v>0.47425978829999998</v>
      </c>
      <c r="T34">
        <v>0.72963044349999995</v>
      </c>
      <c r="U34">
        <v>0.72963044349999995</v>
      </c>
      <c r="V34">
        <v>1.3619768278</v>
      </c>
      <c r="W34">
        <v>1</v>
      </c>
      <c r="X34">
        <v>10</v>
      </c>
      <c r="Y34">
        <v>4923</v>
      </c>
      <c r="Z34">
        <v>9836</v>
      </c>
      <c r="AA34">
        <v>2</v>
      </c>
      <c r="AB34" t="b">
        <v>1</v>
      </c>
      <c r="AC34">
        <v>22.500900022</v>
      </c>
      <c r="AD34" t="b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4.2765087632999998</v>
      </c>
      <c r="AL34">
        <v>1</v>
      </c>
      <c r="AM34">
        <v>0</v>
      </c>
      <c r="AN34">
        <v>0</v>
      </c>
      <c r="AO34">
        <v>4.6093262558000001</v>
      </c>
      <c r="AP34">
        <v>3.7330507112000002</v>
      </c>
      <c r="AQ34">
        <v>1</v>
      </c>
      <c r="AR34">
        <v>31.236509071</v>
      </c>
      <c r="AS34">
        <v>128.50539626</v>
      </c>
      <c r="AT34">
        <v>0</v>
      </c>
      <c r="AU34">
        <v>7.2</v>
      </c>
      <c r="AV34">
        <v>5.5555555555999998</v>
      </c>
      <c r="AW34">
        <v>2.7972027972000002</v>
      </c>
      <c r="AX34">
        <v>111.88811189</v>
      </c>
      <c r="AY34">
        <v>40</v>
      </c>
      <c r="AZ34">
        <v>15.540015540000001</v>
      </c>
      <c r="BA34">
        <v>1.3619768278</v>
      </c>
      <c r="BB34">
        <v>1.0939112487</v>
      </c>
      <c r="BC34">
        <v>1.1320754716999999</v>
      </c>
      <c r="BD34">
        <v>0.27106466359999998</v>
      </c>
      <c r="BE34">
        <v>0.6265060241</v>
      </c>
      <c r="BF34">
        <v>0.35739594969999999</v>
      </c>
      <c r="BG34">
        <v>0.81029551950000001</v>
      </c>
      <c r="BH34">
        <v>0</v>
      </c>
      <c r="BI34">
        <v>0.7</v>
      </c>
      <c r="BJ34">
        <v>0</v>
      </c>
      <c r="BK34">
        <v>0.2141801646</v>
      </c>
      <c r="BL34">
        <v>0.22305017569999999</v>
      </c>
      <c r="BM34">
        <v>0.48427672955974799</v>
      </c>
      <c r="BN34">
        <v>1</v>
      </c>
      <c r="BO34">
        <v>0.30893719419999999</v>
      </c>
      <c r="BP34">
        <v>1.3619768278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1.3619768278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1.3619768278</v>
      </c>
      <c r="CJ34">
        <v>0</v>
      </c>
      <c r="CK34">
        <v>0</v>
      </c>
      <c r="CL34">
        <v>6.3053249328999996</v>
      </c>
      <c r="CM34">
        <v>25.417330572000001</v>
      </c>
      <c r="CN34">
        <v>152.9775659</v>
      </c>
      <c r="CO34">
        <v>6.1061455048999997</v>
      </c>
      <c r="CP34" s="9">
        <v>11.615531259999999</v>
      </c>
      <c r="CQ34" s="9">
        <v>18.617806727000001</v>
      </c>
      <c r="CR34" s="9">
        <v>188.53708179</v>
      </c>
      <c r="CS34" s="9">
        <v>4.9220427235999997</v>
      </c>
      <c r="CT34">
        <v>0</v>
      </c>
      <c r="CU34">
        <v>1</v>
      </c>
      <c r="CV34">
        <v>0</v>
      </c>
      <c r="CW34">
        <v>0.73422688229999999</v>
      </c>
      <c r="CX34">
        <v>0.30893719419999999</v>
      </c>
      <c r="CY34">
        <v>4</v>
      </c>
    </row>
    <row r="35" spans="1:103" x14ac:dyDescent="0.25">
      <c r="B35" t="s">
        <v>141</v>
      </c>
      <c r="C35" t="s">
        <v>142</v>
      </c>
      <c r="D35" t="s">
        <v>145</v>
      </c>
      <c r="E35" t="s">
        <v>153</v>
      </c>
      <c r="F35" t="s">
        <v>175</v>
      </c>
      <c r="P35">
        <v>3</v>
      </c>
      <c r="Q35">
        <v>0</v>
      </c>
      <c r="R35">
        <v>15574</v>
      </c>
      <c r="S35">
        <v>0.47425978829999998</v>
      </c>
      <c r="T35">
        <v>0.72963044349999995</v>
      </c>
      <c r="U35">
        <v>0.72963044349999995</v>
      </c>
      <c r="V35">
        <v>1.3619768278</v>
      </c>
      <c r="W35">
        <v>1</v>
      </c>
      <c r="X35">
        <v>10</v>
      </c>
      <c r="Y35">
        <v>4923</v>
      </c>
      <c r="Z35">
        <v>9836</v>
      </c>
      <c r="AA35">
        <v>2</v>
      </c>
      <c r="AB35" t="b">
        <v>1</v>
      </c>
      <c r="AC35">
        <v>22.500900022</v>
      </c>
      <c r="AD35" t="b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4.2765087632999998</v>
      </c>
      <c r="AL35">
        <v>1</v>
      </c>
      <c r="AM35">
        <v>0</v>
      </c>
      <c r="AN35">
        <v>0</v>
      </c>
      <c r="AO35">
        <v>4.6093262558000001</v>
      </c>
      <c r="AP35">
        <v>3.7330507112000002</v>
      </c>
      <c r="AQ35">
        <v>1</v>
      </c>
      <c r="AR35">
        <v>31.236509071</v>
      </c>
      <c r="AS35">
        <v>128.50539626</v>
      </c>
      <c r="AT35">
        <v>0</v>
      </c>
      <c r="AU35">
        <v>7.2</v>
      </c>
      <c r="AV35">
        <v>5.5555555555999998</v>
      </c>
      <c r="AW35">
        <v>2.7972027972000002</v>
      </c>
      <c r="AX35">
        <v>111.88811189</v>
      </c>
      <c r="AY35">
        <v>40</v>
      </c>
      <c r="AZ35">
        <v>15.540015540000001</v>
      </c>
      <c r="BA35">
        <v>1.3619768278</v>
      </c>
      <c r="BB35">
        <v>1.0939112487</v>
      </c>
      <c r="BC35">
        <v>1.1320754716999999</v>
      </c>
      <c r="BD35">
        <v>0.27106466359999998</v>
      </c>
      <c r="BE35">
        <v>0.6265060241</v>
      </c>
      <c r="BF35">
        <v>0.35739594969999999</v>
      </c>
      <c r="BG35">
        <v>0.81029551950000001</v>
      </c>
      <c r="BH35">
        <v>0</v>
      </c>
      <c r="BI35">
        <v>0.7</v>
      </c>
      <c r="BJ35">
        <v>0</v>
      </c>
      <c r="BK35">
        <v>0.2141801646</v>
      </c>
      <c r="BL35">
        <v>0.22305017569999999</v>
      </c>
      <c r="BM35">
        <v>0.48427672955974799</v>
      </c>
      <c r="BN35">
        <v>1</v>
      </c>
      <c r="BO35">
        <v>0.30893719419999999</v>
      </c>
      <c r="BP35">
        <v>1.3619768278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1.3619768278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1.3619768278</v>
      </c>
      <c r="CJ35">
        <v>0</v>
      </c>
      <c r="CK35">
        <v>0</v>
      </c>
      <c r="CL35">
        <v>6.3053249328999996</v>
      </c>
      <c r="CM35">
        <v>25.417330572000001</v>
      </c>
      <c r="CN35">
        <v>152.9775659</v>
      </c>
      <c r="CO35">
        <v>6.1061455048999997</v>
      </c>
      <c r="CP35" s="9">
        <v>11.586932937</v>
      </c>
      <c r="CQ35" s="9">
        <v>37.360174839999999</v>
      </c>
      <c r="CR35" s="9">
        <v>179.69362704</v>
      </c>
      <c r="CS35" s="9">
        <v>5.6067679113000004</v>
      </c>
      <c r="CT35">
        <v>0</v>
      </c>
      <c r="CU35">
        <v>1</v>
      </c>
      <c r="CV35">
        <v>0</v>
      </c>
      <c r="CW35">
        <v>0.73422688229999999</v>
      </c>
      <c r="CX35">
        <v>0.30893719419999999</v>
      </c>
      <c r="CY35">
        <v>4</v>
      </c>
    </row>
    <row r="36" spans="1:103" x14ac:dyDescent="0.25">
      <c r="B36" t="s">
        <v>140</v>
      </c>
      <c r="C36" t="s">
        <v>142</v>
      </c>
      <c r="D36" t="s">
        <v>145</v>
      </c>
      <c r="E36" t="s">
        <v>154</v>
      </c>
      <c r="F36" t="s">
        <v>176</v>
      </c>
      <c r="P36">
        <v>4</v>
      </c>
      <c r="Q36">
        <v>0</v>
      </c>
      <c r="R36">
        <v>15574</v>
      </c>
      <c r="S36">
        <v>0.47425978829999998</v>
      </c>
      <c r="T36">
        <v>0.72963044349999995</v>
      </c>
      <c r="U36">
        <v>0.72963044349999995</v>
      </c>
      <c r="V36">
        <v>1.3619768278</v>
      </c>
      <c r="W36">
        <v>1</v>
      </c>
      <c r="X36">
        <v>10</v>
      </c>
      <c r="Y36">
        <v>4923</v>
      </c>
      <c r="Z36">
        <v>9836</v>
      </c>
      <c r="AA36">
        <v>2</v>
      </c>
      <c r="AB36" t="b">
        <v>1</v>
      </c>
      <c r="AC36">
        <v>22.500900022</v>
      </c>
      <c r="AD36" t="b">
        <v>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4.2765087632999998</v>
      </c>
      <c r="AL36">
        <v>1</v>
      </c>
      <c r="AM36">
        <v>0</v>
      </c>
      <c r="AN36">
        <v>0</v>
      </c>
      <c r="AO36">
        <v>4.6093262558000001</v>
      </c>
      <c r="AP36">
        <v>3.7330507112000002</v>
      </c>
      <c r="AQ36">
        <v>1</v>
      </c>
      <c r="AR36">
        <v>31.236509071</v>
      </c>
      <c r="AS36">
        <v>128.50539626</v>
      </c>
      <c r="AT36">
        <v>0</v>
      </c>
      <c r="AU36">
        <v>7.2</v>
      </c>
      <c r="AV36">
        <v>5.5555555555999998</v>
      </c>
      <c r="AW36">
        <v>2.7972027972000002</v>
      </c>
      <c r="AX36">
        <v>111.88811189</v>
      </c>
      <c r="AY36">
        <v>40</v>
      </c>
      <c r="AZ36">
        <v>15.540015540000001</v>
      </c>
      <c r="BA36">
        <v>1.3619768278</v>
      </c>
      <c r="BB36">
        <v>1.0939112487</v>
      </c>
      <c r="BC36">
        <v>1.1320754716999999</v>
      </c>
      <c r="BD36">
        <v>0.27106466359999998</v>
      </c>
      <c r="BE36">
        <v>0.6265060241</v>
      </c>
      <c r="BF36">
        <v>0.35739594969999999</v>
      </c>
      <c r="BG36">
        <v>0.81029551950000001</v>
      </c>
      <c r="BH36">
        <v>0</v>
      </c>
      <c r="BI36">
        <v>0.7</v>
      </c>
      <c r="BJ36">
        <v>0</v>
      </c>
      <c r="BK36">
        <v>0.2141801646</v>
      </c>
      <c r="BL36">
        <v>0.22305017569999999</v>
      </c>
      <c r="BM36">
        <v>0.48427672955974799</v>
      </c>
      <c r="BN36">
        <v>1</v>
      </c>
      <c r="BO36">
        <v>0.30893719419999999</v>
      </c>
      <c r="BP36">
        <v>1.3619768278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1.3619768278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1.3619768278</v>
      </c>
      <c r="CJ36">
        <v>0</v>
      </c>
      <c r="CK36">
        <v>0</v>
      </c>
      <c r="CL36">
        <v>6.3053249328999996</v>
      </c>
      <c r="CM36">
        <v>25.417330572000001</v>
      </c>
      <c r="CN36">
        <v>152.9775659</v>
      </c>
      <c r="CO36">
        <v>6.1061455048999997</v>
      </c>
      <c r="CP36" s="9">
        <v>11.761208402999999</v>
      </c>
      <c r="CQ36" s="9">
        <v>15.61834211</v>
      </c>
      <c r="CR36" s="9">
        <v>186.83621690000001</v>
      </c>
      <c r="CS36" s="9">
        <v>4.7182863023000001</v>
      </c>
      <c r="CT36">
        <v>0</v>
      </c>
      <c r="CU36">
        <v>1</v>
      </c>
      <c r="CV36">
        <v>0</v>
      </c>
      <c r="CW36">
        <v>0.73422688229999999</v>
      </c>
      <c r="CX36">
        <v>0.30893719419999999</v>
      </c>
      <c r="CY36">
        <v>4</v>
      </c>
    </row>
    <row r="37" spans="1:103" x14ac:dyDescent="0.25">
      <c r="B37" t="s">
        <v>141</v>
      </c>
      <c r="C37" t="s">
        <v>142</v>
      </c>
      <c r="D37" t="s">
        <v>145</v>
      </c>
      <c r="E37" t="s">
        <v>154</v>
      </c>
      <c r="F37" t="s">
        <v>177</v>
      </c>
      <c r="P37">
        <v>5</v>
      </c>
      <c r="Q37">
        <v>0</v>
      </c>
      <c r="R37">
        <v>15574</v>
      </c>
      <c r="S37">
        <v>0.47425978829999998</v>
      </c>
      <c r="T37">
        <v>0.72963044349999995</v>
      </c>
      <c r="U37">
        <v>0.72963044349999995</v>
      </c>
      <c r="V37">
        <v>1.3619768278</v>
      </c>
      <c r="W37">
        <v>1</v>
      </c>
      <c r="X37">
        <v>10</v>
      </c>
      <c r="Y37">
        <v>4923</v>
      </c>
      <c r="Z37">
        <v>9836</v>
      </c>
      <c r="AA37">
        <v>2</v>
      </c>
      <c r="AB37" t="b">
        <v>1</v>
      </c>
      <c r="AC37">
        <v>22.500900022</v>
      </c>
      <c r="AD37" t="b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4.2765087632999998</v>
      </c>
      <c r="AL37">
        <v>1</v>
      </c>
      <c r="AM37">
        <v>0</v>
      </c>
      <c r="AN37">
        <v>0</v>
      </c>
      <c r="AO37">
        <v>4.6093262558000001</v>
      </c>
      <c r="AP37">
        <v>3.7330507112000002</v>
      </c>
      <c r="AQ37">
        <v>1</v>
      </c>
      <c r="AR37">
        <v>31.236509071</v>
      </c>
      <c r="AS37">
        <v>128.50539626</v>
      </c>
      <c r="AT37">
        <v>0</v>
      </c>
      <c r="AU37">
        <v>7.2</v>
      </c>
      <c r="AV37">
        <v>5.5555555555999998</v>
      </c>
      <c r="AW37">
        <v>2.7972027972000002</v>
      </c>
      <c r="AX37">
        <v>111.88811189</v>
      </c>
      <c r="AY37">
        <v>40</v>
      </c>
      <c r="AZ37">
        <v>15.540015540000001</v>
      </c>
      <c r="BA37">
        <v>1.3619768278</v>
      </c>
      <c r="BB37">
        <v>1.0939112487</v>
      </c>
      <c r="BC37">
        <v>1.1320754716999999</v>
      </c>
      <c r="BD37">
        <v>0.27106466359999998</v>
      </c>
      <c r="BE37">
        <v>0.6265060241</v>
      </c>
      <c r="BF37">
        <v>0.35739594969999999</v>
      </c>
      <c r="BG37">
        <v>0.81029551950000001</v>
      </c>
      <c r="BH37">
        <v>0</v>
      </c>
      <c r="BI37">
        <v>0.7</v>
      </c>
      <c r="BJ37">
        <v>0</v>
      </c>
      <c r="BK37">
        <v>0.2141801646</v>
      </c>
      <c r="BL37">
        <v>0.22305017569999999</v>
      </c>
      <c r="BM37">
        <v>0.48427672955974799</v>
      </c>
      <c r="BN37">
        <v>1</v>
      </c>
      <c r="BO37">
        <v>0.30893719419999999</v>
      </c>
      <c r="BP37">
        <v>1.3619768278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1.3619768278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1.3619768278</v>
      </c>
      <c r="CJ37">
        <v>0</v>
      </c>
      <c r="CK37">
        <v>0</v>
      </c>
      <c r="CL37">
        <v>6.3053249328999996</v>
      </c>
      <c r="CM37">
        <v>25.417330572000001</v>
      </c>
      <c r="CN37">
        <v>152.9775659</v>
      </c>
      <c r="CO37">
        <v>6.1061455048999997</v>
      </c>
      <c r="CP37" s="9">
        <v>11.159908489999999</v>
      </c>
      <c r="CQ37" s="9">
        <v>38.873222941999998</v>
      </c>
      <c r="CR37" s="9">
        <v>184.96751158000001</v>
      </c>
      <c r="CS37" s="9">
        <v>5.0169963301999996</v>
      </c>
      <c r="CT37">
        <v>0</v>
      </c>
      <c r="CU37">
        <v>1</v>
      </c>
      <c r="CV37">
        <v>0</v>
      </c>
      <c r="CW37">
        <v>0.73422688229999999</v>
      </c>
      <c r="CX37">
        <v>0.30893719419999999</v>
      </c>
      <c r="CY37">
        <v>4</v>
      </c>
    </row>
    <row r="39" spans="1:103" x14ac:dyDescent="0.25">
      <c r="A39" s="1" t="s">
        <v>425</v>
      </c>
      <c r="O39" t="s">
        <v>282</v>
      </c>
      <c r="P39" t="s">
        <v>274</v>
      </c>
      <c r="Q39" t="s">
        <v>182</v>
      </c>
      <c r="R39" t="s">
        <v>183</v>
      </c>
      <c r="S39" t="s">
        <v>184</v>
      </c>
      <c r="T39" t="s">
        <v>185</v>
      </c>
      <c r="U39" t="s">
        <v>186</v>
      </c>
      <c r="V39" t="s">
        <v>187</v>
      </c>
      <c r="W39" t="s">
        <v>188</v>
      </c>
      <c r="X39" t="s">
        <v>189</v>
      </c>
      <c r="Y39" t="s">
        <v>190</v>
      </c>
      <c r="Z39" t="s">
        <v>191</v>
      </c>
      <c r="AA39" t="s">
        <v>192</v>
      </c>
      <c r="AB39" t="s">
        <v>193</v>
      </c>
      <c r="AC39" t="s">
        <v>194</v>
      </c>
      <c r="AD39" t="s">
        <v>195</v>
      </c>
      <c r="AE39" t="s">
        <v>196</v>
      </c>
      <c r="AF39" t="s">
        <v>197</v>
      </c>
      <c r="AG39" t="s">
        <v>198</v>
      </c>
      <c r="AH39" t="s">
        <v>199</v>
      </c>
      <c r="AI39" t="s">
        <v>200</v>
      </c>
      <c r="AJ39" t="s">
        <v>201</v>
      </c>
      <c r="AK39" t="s">
        <v>202</v>
      </c>
      <c r="AL39" t="s">
        <v>14</v>
      </c>
      <c r="AM39" t="s">
        <v>203</v>
      </c>
      <c r="AN39" t="s">
        <v>204</v>
      </c>
      <c r="AO39" t="s">
        <v>205</v>
      </c>
      <c r="AP39" t="s">
        <v>15</v>
      </c>
      <c r="AQ39" t="s">
        <v>16</v>
      </c>
      <c r="AR39" t="s">
        <v>206</v>
      </c>
      <c r="AS39" t="s">
        <v>207</v>
      </c>
      <c r="AT39" t="s">
        <v>208</v>
      </c>
      <c r="AU39" t="s">
        <v>209</v>
      </c>
      <c r="AV39" t="s">
        <v>210</v>
      </c>
      <c r="AW39" t="s">
        <v>211</v>
      </c>
      <c r="AX39" t="s">
        <v>212</v>
      </c>
      <c r="AY39" t="s">
        <v>213</v>
      </c>
      <c r="AZ39" t="s">
        <v>214</v>
      </c>
      <c r="BA39" t="s">
        <v>215</v>
      </c>
      <c r="BB39" t="s">
        <v>216</v>
      </c>
      <c r="BC39" t="s">
        <v>217</v>
      </c>
      <c r="BD39" t="s">
        <v>218</v>
      </c>
      <c r="BE39" t="s">
        <v>219</v>
      </c>
      <c r="BF39" t="s">
        <v>220</v>
      </c>
      <c r="BG39" t="s">
        <v>221</v>
      </c>
      <c r="BH39" t="s">
        <v>222</v>
      </c>
      <c r="BI39" t="s">
        <v>223</v>
      </c>
      <c r="BJ39" t="s">
        <v>224</v>
      </c>
      <c r="BK39" t="s">
        <v>225</v>
      </c>
      <c r="BL39" t="s">
        <v>140</v>
      </c>
      <c r="BM39" t="s">
        <v>275</v>
      </c>
      <c r="BN39" t="s">
        <v>227</v>
      </c>
      <c r="BO39" t="s">
        <v>228</v>
      </c>
      <c r="BP39" t="s">
        <v>229</v>
      </c>
      <c r="BQ39" t="s">
        <v>230</v>
      </c>
      <c r="BR39" t="s">
        <v>13</v>
      </c>
      <c r="BS39" t="s">
        <v>231</v>
      </c>
      <c r="BT39" t="s">
        <v>232</v>
      </c>
      <c r="BU39" t="s">
        <v>233</v>
      </c>
      <c r="BV39" t="s">
        <v>234</v>
      </c>
      <c r="BW39" t="s">
        <v>235</v>
      </c>
      <c r="BX39" t="s">
        <v>236</v>
      </c>
      <c r="BY39" t="s">
        <v>237</v>
      </c>
      <c r="BZ39" t="s">
        <v>238</v>
      </c>
      <c r="CA39" t="s">
        <v>239</v>
      </c>
      <c r="CB39" t="s">
        <v>240</v>
      </c>
      <c r="CC39" t="s">
        <v>241</v>
      </c>
      <c r="CD39" t="s">
        <v>242</v>
      </c>
      <c r="CE39" t="s">
        <v>243</v>
      </c>
      <c r="CF39" t="s">
        <v>244</v>
      </c>
      <c r="CG39" t="s">
        <v>245</v>
      </c>
      <c r="CH39" t="s">
        <v>246</v>
      </c>
      <c r="CI39" t="s">
        <v>247</v>
      </c>
      <c r="CJ39" t="s">
        <v>248</v>
      </c>
      <c r="CK39" t="s">
        <v>249</v>
      </c>
      <c r="CL39" t="s">
        <v>250</v>
      </c>
      <c r="CM39" t="s">
        <v>251</v>
      </c>
      <c r="CN39" t="s">
        <v>252</v>
      </c>
      <c r="CO39" t="s">
        <v>253</v>
      </c>
      <c r="CP39" t="s">
        <v>254</v>
      </c>
      <c r="CQ39" t="s">
        <v>255</v>
      </c>
      <c r="CR39" t="s">
        <v>256</v>
      </c>
      <c r="CS39" t="s">
        <v>257</v>
      </c>
      <c r="CT39" t="s">
        <v>258</v>
      </c>
      <c r="CU39" t="s">
        <v>259</v>
      </c>
      <c r="CV39" t="s">
        <v>260</v>
      </c>
      <c r="CW39" t="s">
        <v>261</v>
      </c>
      <c r="CX39" t="s">
        <v>262</v>
      </c>
      <c r="CY39" t="s">
        <v>263</v>
      </c>
    </row>
    <row r="40" spans="1:103" x14ac:dyDescent="0.25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P40">
        <v>1</v>
      </c>
      <c r="Q40">
        <v>0</v>
      </c>
      <c r="R40">
        <v>15574</v>
      </c>
      <c r="S40">
        <v>0.47425978829999998</v>
      </c>
      <c r="T40">
        <v>0.72963044349999995</v>
      </c>
      <c r="U40">
        <v>0.72963044349999995</v>
      </c>
      <c r="V40">
        <v>1.3619768278</v>
      </c>
      <c r="W40">
        <v>1</v>
      </c>
      <c r="X40">
        <v>10</v>
      </c>
      <c r="Y40">
        <v>4923</v>
      </c>
      <c r="Z40">
        <v>9836</v>
      </c>
      <c r="AA40">
        <v>2</v>
      </c>
      <c r="AB40" t="b">
        <v>1</v>
      </c>
      <c r="AC40">
        <v>22.500900022</v>
      </c>
      <c r="AD40" t="b">
        <v>0</v>
      </c>
      <c r="AE40">
        <v>1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4.2765087632999998</v>
      </c>
      <c r="AL40">
        <v>1</v>
      </c>
      <c r="AM40">
        <v>0</v>
      </c>
      <c r="AN40">
        <v>0</v>
      </c>
      <c r="AO40">
        <v>4.6093262558000001</v>
      </c>
      <c r="AP40">
        <v>3.7330507112000002</v>
      </c>
      <c r="AQ40">
        <v>1</v>
      </c>
      <c r="AR40">
        <v>31.236509071</v>
      </c>
      <c r="AS40">
        <v>128.50539626</v>
      </c>
      <c r="AT40">
        <v>0</v>
      </c>
      <c r="AU40">
        <v>7.2</v>
      </c>
      <c r="AV40">
        <v>5.5555555555999998</v>
      </c>
      <c r="AW40">
        <v>2.7972027972000002</v>
      </c>
      <c r="AX40">
        <v>111.88811189</v>
      </c>
      <c r="AY40">
        <v>40</v>
      </c>
      <c r="AZ40">
        <v>15.540015540000001</v>
      </c>
      <c r="BA40">
        <v>1.3619768278</v>
      </c>
      <c r="BB40">
        <v>1.0939112487</v>
      </c>
      <c r="BC40">
        <v>1.1320754716999999</v>
      </c>
      <c r="BD40">
        <v>0.27106466359999998</v>
      </c>
      <c r="BE40">
        <v>0.6265060241</v>
      </c>
      <c r="BF40">
        <v>0.35739594969999999</v>
      </c>
      <c r="BG40">
        <v>0.81029551950000001</v>
      </c>
      <c r="BH40">
        <v>0</v>
      </c>
      <c r="BI40">
        <v>0.7</v>
      </c>
      <c r="BJ40">
        <v>0</v>
      </c>
      <c r="BK40">
        <v>0.2141801646</v>
      </c>
      <c r="BL40">
        <v>0.22305017569999999</v>
      </c>
      <c r="BM40">
        <v>0.48427672955974799</v>
      </c>
      <c r="BN40">
        <v>1</v>
      </c>
      <c r="BO40">
        <v>0.30893719419999999</v>
      </c>
      <c r="BP40">
        <v>1.3619768278</v>
      </c>
      <c r="BQ40">
        <v>1</v>
      </c>
      <c r="BR40">
        <v>0</v>
      </c>
      <c r="BS40">
        <v>1</v>
      </c>
      <c r="BT40">
        <v>0</v>
      </c>
      <c r="BU40">
        <v>0</v>
      </c>
      <c r="BV40">
        <v>1.3619768278</v>
      </c>
      <c r="BW40">
        <v>0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1.3619768278</v>
      </c>
      <c r="CJ40">
        <v>0</v>
      </c>
      <c r="CK40">
        <v>0</v>
      </c>
      <c r="CL40">
        <v>6.3053249328999996</v>
      </c>
      <c r="CM40">
        <v>25.417330572000001</v>
      </c>
      <c r="CN40">
        <v>152.9775659</v>
      </c>
      <c r="CO40">
        <v>6.1061455048999997</v>
      </c>
      <c r="CP40" s="9">
        <v>12.442444871999999</v>
      </c>
      <c r="CQ40" s="9">
        <v>22.482395413999999</v>
      </c>
      <c r="CR40" s="9">
        <v>183.59845290000001</v>
      </c>
      <c r="CS40" s="9">
        <v>5.1216443461000001</v>
      </c>
      <c r="CT40">
        <v>0</v>
      </c>
      <c r="CU40">
        <v>1</v>
      </c>
      <c r="CV40">
        <v>0</v>
      </c>
      <c r="CW40">
        <v>0.73422688229999999</v>
      </c>
      <c r="CX40">
        <v>0.30893719419999999</v>
      </c>
      <c r="CY40">
        <v>4</v>
      </c>
    </row>
    <row r="41" spans="1:103" x14ac:dyDescent="0.25">
      <c r="A41" t="s">
        <v>410</v>
      </c>
      <c r="B41" t="s">
        <v>411</v>
      </c>
      <c r="C41">
        <v>1</v>
      </c>
      <c r="D41">
        <v>0</v>
      </c>
      <c r="E41" t="s">
        <v>412</v>
      </c>
      <c r="F41" t="s">
        <v>413</v>
      </c>
      <c r="G41" t="s">
        <v>160</v>
      </c>
      <c r="P41">
        <v>2</v>
      </c>
      <c r="Q41">
        <v>0</v>
      </c>
      <c r="R41">
        <v>15574</v>
      </c>
      <c r="S41">
        <v>0.47425978829999998</v>
      </c>
      <c r="T41">
        <v>0.72963044349999995</v>
      </c>
      <c r="U41">
        <v>0.72963044349999995</v>
      </c>
      <c r="V41">
        <v>1.3619768278</v>
      </c>
      <c r="W41">
        <v>1</v>
      </c>
      <c r="X41">
        <v>10</v>
      </c>
      <c r="Y41">
        <v>4923</v>
      </c>
      <c r="Z41">
        <v>9836</v>
      </c>
      <c r="AA41">
        <v>2</v>
      </c>
      <c r="AB41" t="b">
        <v>1</v>
      </c>
      <c r="AC41">
        <v>22.500900022</v>
      </c>
      <c r="AD41" t="b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4.2765087632999998</v>
      </c>
      <c r="AL41">
        <v>1</v>
      </c>
      <c r="AM41">
        <v>0</v>
      </c>
      <c r="AN41">
        <v>0</v>
      </c>
      <c r="AO41">
        <v>4.6093262558000001</v>
      </c>
      <c r="AP41">
        <v>3.7330507112000002</v>
      </c>
      <c r="AQ41">
        <v>1</v>
      </c>
      <c r="AR41">
        <v>31.236509071</v>
      </c>
      <c r="AS41">
        <v>128.50539626</v>
      </c>
      <c r="AT41">
        <v>0</v>
      </c>
      <c r="AU41">
        <v>7.2</v>
      </c>
      <c r="AV41">
        <v>5.5555555555999998</v>
      </c>
      <c r="AW41">
        <v>2.7972027972000002</v>
      </c>
      <c r="AX41">
        <v>111.88811189</v>
      </c>
      <c r="AY41">
        <v>40</v>
      </c>
      <c r="AZ41">
        <v>15.540015540000001</v>
      </c>
      <c r="BA41">
        <v>1.3619768278</v>
      </c>
      <c r="BB41">
        <v>1.0939112487</v>
      </c>
      <c r="BC41">
        <v>1.1320754716999999</v>
      </c>
      <c r="BD41">
        <v>0.27106466359999998</v>
      </c>
      <c r="BE41">
        <v>0.6265060241</v>
      </c>
      <c r="BF41">
        <v>0.35739594969999999</v>
      </c>
      <c r="BG41">
        <v>0.81029551950000001</v>
      </c>
      <c r="BH41">
        <v>0</v>
      </c>
      <c r="BI41">
        <v>0.7</v>
      </c>
      <c r="BJ41">
        <v>0</v>
      </c>
      <c r="BK41">
        <v>0.2141801646</v>
      </c>
      <c r="BL41">
        <v>0.22305017569999999</v>
      </c>
      <c r="BM41">
        <v>0.48427672955974799</v>
      </c>
      <c r="BN41">
        <v>1</v>
      </c>
      <c r="BO41">
        <v>0.30893719419999999</v>
      </c>
      <c r="BP41">
        <v>1.3619768278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1.3619768278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1.3619768278</v>
      </c>
      <c r="CJ41">
        <v>0</v>
      </c>
      <c r="CK41">
        <v>0</v>
      </c>
      <c r="CL41">
        <v>6.3053249328999996</v>
      </c>
      <c r="CM41">
        <v>25.417330572000001</v>
      </c>
      <c r="CN41">
        <v>152.9775659</v>
      </c>
      <c r="CO41">
        <v>6.1061455048999997</v>
      </c>
      <c r="CP41" s="9">
        <v>11.098272246000001</v>
      </c>
      <c r="CQ41" s="9">
        <v>35.384482042999998</v>
      </c>
      <c r="CR41" s="9">
        <v>177.78785368000001</v>
      </c>
      <c r="CS41" s="9">
        <v>4.6803697616999997</v>
      </c>
      <c r="CT41">
        <v>0</v>
      </c>
      <c r="CU41">
        <v>1</v>
      </c>
      <c r="CV41">
        <v>0</v>
      </c>
      <c r="CW41">
        <v>0.73422688229999999</v>
      </c>
      <c r="CX41">
        <v>0.30893719419999999</v>
      </c>
      <c r="CY41">
        <v>4</v>
      </c>
    </row>
    <row r="42" spans="1:103" x14ac:dyDescent="0.25">
      <c r="A42" t="s">
        <v>410</v>
      </c>
      <c r="B42" t="s">
        <v>411</v>
      </c>
      <c r="C42">
        <v>1</v>
      </c>
      <c r="D42">
        <v>0</v>
      </c>
      <c r="E42" t="s">
        <v>414</v>
      </c>
      <c r="F42" t="s">
        <v>413</v>
      </c>
      <c r="G42" t="s">
        <v>161</v>
      </c>
      <c r="P42">
        <v>3</v>
      </c>
      <c r="Q42">
        <v>0</v>
      </c>
      <c r="R42">
        <v>15574</v>
      </c>
      <c r="S42">
        <v>0.47425978829999998</v>
      </c>
      <c r="T42">
        <v>0.72963044349999995</v>
      </c>
      <c r="U42">
        <v>0.72963044349999995</v>
      </c>
      <c r="V42">
        <v>1.3619768278</v>
      </c>
      <c r="W42">
        <v>1</v>
      </c>
      <c r="X42">
        <v>10</v>
      </c>
      <c r="Y42">
        <v>4923</v>
      </c>
      <c r="Z42">
        <v>9836</v>
      </c>
      <c r="AA42">
        <v>2</v>
      </c>
      <c r="AB42" t="b">
        <v>1</v>
      </c>
      <c r="AC42">
        <v>22.500900022</v>
      </c>
      <c r="AD42" t="b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4.2765087632999998</v>
      </c>
      <c r="AL42">
        <v>1</v>
      </c>
      <c r="AM42">
        <v>0</v>
      </c>
      <c r="AN42">
        <v>0</v>
      </c>
      <c r="AO42">
        <v>4.6093262558000001</v>
      </c>
      <c r="AP42">
        <v>3.7330507112000002</v>
      </c>
      <c r="AQ42">
        <v>1</v>
      </c>
      <c r="AR42">
        <v>31.236509071</v>
      </c>
      <c r="AS42">
        <v>128.50539626</v>
      </c>
      <c r="AT42">
        <v>0</v>
      </c>
      <c r="AU42">
        <v>7.2</v>
      </c>
      <c r="AV42">
        <v>5.5555555555999998</v>
      </c>
      <c r="AW42">
        <v>2.7972027972000002</v>
      </c>
      <c r="AX42">
        <v>111.88811189</v>
      </c>
      <c r="AY42">
        <v>40</v>
      </c>
      <c r="AZ42">
        <v>15.540015540000001</v>
      </c>
      <c r="BA42">
        <v>1.3619768278</v>
      </c>
      <c r="BB42">
        <v>1.0939112487</v>
      </c>
      <c r="BC42">
        <v>1.1320754716999999</v>
      </c>
      <c r="BD42">
        <v>0.27106466359999998</v>
      </c>
      <c r="BE42">
        <v>0.6265060241</v>
      </c>
      <c r="BF42">
        <v>0.35739594969999999</v>
      </c>
      <c r="BG42">
        <v>0.81029551950000001</v>
      </c>
      <c r="BH42">
        <v>0</v>
      </c>
      <c r="BI42">
        <v>0.7</v>
      </c>
      <c r="BJ42">
        <v>0</v>
      </c>
      <c r="BK42">
        <v>0.2141801646</v>
      </c>
      <c r="BL42">
        <v>0.22305017569999999</v>
      </c>
      <c r="BM42">
        <v>0.48427672955974799</v>
      </c>
      <c r="BN42">
        <v>1</v>
      </c>
      <c r="BO42">
        <v>0.30893719419999999</v>
      </c>
      <c r="BP42">
        <v>1.3619768278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1.3619768278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1.3619768278</v>
      </c>
      <c r="CJ42">
        <v>0</v>
      </c>
      <c r="CK42">
        <v>0</v>
      </c>
      <c r="CL42">
        <v>6.3053249328999996</v>
      </c>
      <c r="CM42">
        <v>25.417330572000001</v>
      </c>
      <c r="CN42">
        <v>152.9775659</v>
      </c>
      <c r="CO42">
        <v>6.1061455048999997</v>
      </c>
      <c r="CP42" s="9">
        <v>11.218474416999999</v>
      </c>
      <c r="CQ42" s="9">
        <v>38.330767508000001</v>
      </c>
      <c r="CR42" s="9">
        <v>183.16355250000001</v>
      </c>
      <c r="CS42" s="9">
        <v>5.0216548360999997</v>
      </c>
      <c r="CT42">
        <v>0</v>
      </c>
      <c r="CU42">
        <v>1</v>
      </c>
      <c r="CV42">
        <v>0</v>
      </c>
      <c r="CW42">
        <v>0.73422688229999999</v>
      </c>
      <c r="CX42">
        <v>0.30893719419999999</v>
      </c>
      <c r="CY42">
        <v>4</v>
      </c>
    </row>
    <row r="43" spans="1:103" x14ac:dyDescent="0.25">
      <c r="A43" t="s">
        <v>410</v>
      </c>
      <c r="B43" t="s">
        <v>411</v>
      </c>
      <c r="C43">
        <v>1</v>
      </c>
      <c r="D43">
        <v>0</v>
      </c>
      <c r="E43" t="s">
        <v>415</v>
      </c>
      <c r="F43" t="s">
        <v>413</v>
      </c>
      <c r="G43" t="s">
        <v>339</v>
      </c>
      <c r="P43">
        <v>4</v>
      </c>
      <c r="Q43">
        <v>0</v>
      </c>
      <c r="R43">
        <v>15574</v>
      </c>
      <c r="S43">
        <v>0.47425978829999998</v>
      </c>
      <c r="T43">
        <v>0.72963044349999995</v>
      </c>
      <c r="U43">
        <v>0.72963044349999995</v>
      </c>
      <c r="V43">
        <v>1.3619768278</v>
      </c>
      <c r="W43">
        <v>1</v>
      </c>
      <c r="X43">
        <v>10</v>
      </c>
      <c r="Y43">
        <v>4923</v>
      </c>
      <c r="Z43">
        <v>9836</v>
      </c>
      <c r="AA43">
        <v>2</v>
      </c>
      <c r="AB43" t="b">
        <v>1</v>
      </c>
      <c r="AC43">
        <v>22.500900022</v>
      </c>
      <c r="AD43" t="b">
        <v>0</v>
      </c>
      <c r="AE43">
        <v>1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4.2765087632999998</v>
      </c>
      <c r="AL43">
        <v>1</v>
      </c>
      <c r="AM43">
        <v>0</v>
      </c>
      <c r="AN43">
        <v>0</v>
      </c>
      <c r="AO43">
        <v>4.6093262558000001</v>
      </c>
      <c r="AP43">
        <v>3.7330507112000002</v>
      </c>
      <c r="AQ43">
        <v>1</v>
      </c>
      <c r="AR43">
        <v>31.236509071</v>
      </c>
      <c r="AS43">
        <v>128.50539626</v>
      </c>
      <c r="AT43">
        <v>0</v>
      </c>
      <c r="AU43">
        <v>7.2</v>
      </c>
      <c r="AV43">
        <v>5.5555555555999998</v>
      </c>
      <c r="AW43">
        <v>2.7972027972000002</v>
      </c>
      <c r="AX43">
        <v>111.88811189</v>
      </c>
      <c r="AY43">
        <v>40</v>
      </c>
      <c r="AZ43">
        <v>15.540015540000001</v>
      </c>
      <c r="BA43">
        <v>1.3619768278</v>
      </c>
      <c r="BB43">
        <v>1.0939112487</v>
      </c>
      <c r="BC43">
        <v>1.1320754716999999</v>
      </c>
      <c r="BD43">
        <v>0.27106466359999998</v>
      </c>
      <c r="BE43">
        <v>0.6265060241</v>
      </c>
      <c r="BF43">
        <v>0.35739594969999999</v>
      </c>
      <c r="BG43">
        <v>0.81029551950000001</v>
      </c>
      <c r="BH43">
        <v>0</v>
      </c>
      <c r="BI43">
        <v>0.7</v>
      </c>
      <c r="BJ43">
        <v>0</v>
      </c>
      <c r="BK43">
        <v>0.2141801646</v>
      </c>
      <c r="BL43">
        <v>0.22305017569999999</v>
      </c>
      <c r="BM43">
        <v>0.48427672955974799</v>
      </c>
      <c r="BN43">
        <v>1</v>
      </c>
      <c r="BO43">
        <v>0.30893719419999999</v>
      </c>
      <c r="BP43">
        <v>1.3619768278</v>
      </c>
      <c r="BQ43">
        <v>1</v>
      </c>
      <c r="BR43">
        <v>0</v>
      </c>
      <c r="BS43">
        <v>1</v>
      </c>
      <c r="BT43">
        <v>0</v>
      </c>
      <c r="BU43">
        <v>0</v>
      </c>
      <c r="BV43">
        <v>1.3619768278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1.3619768278</v>
      </c>
      <c r="CJ43">
        <v>0</v>
      </c>
      <c r="CK43">
        <v>0</v>
      </c>
      <c r="CL43">
        <v>6.3053249328999996</v>
      </c>
      <c r="CM43">
        <v>25.417330572000001</v>
      </c>
      <c r="CN43">
        <v>152.9775659</v>
      </c>
      <c r="CO43">
        <v>6.1061455048999997</v>
      </c>
      <c r="CP43" s="9">
        <v>11.923657062</v>
      </c>
      <c r="CQ43" s="9">
        <v>20.586029662000001</v>
      </c>
      <c r="CR43" s="9">
        <v>187.7025127</v>
      </c>
      <c r="CS43" s="9">
        <v>4.7160159450999997</v>
      </c>
      <c r="CT43">
        <v>0</v>
      </c>
      <c r="CU43">
        <v>1</v>
      </c>
      <c r="CV43">
        <v>0</v>
      </c>
      <c r="CW43">
        <v>0.73422688229999999</v>
      </c>
      <c r="CX43">
        <v>0.30893719419999999</v>
      </c>
      <c r="CY43">
        <v>4</v>
      </c>
    </row>
    <row r="44" spans="1:103" x14ac:dyDescent="0.25">
      <c r="A44" t="s">
        <v>410</v>
      </c>
      <c r="B44" t="s">
        <v>411</v>
      </c>
      <c r="C44">
        <v>1</v>
      </c>
      <c r="D44">
        <v>0</v>
      </c>
      <c r="E44" t="s">
        <v>416</v>
      </c>
      <c r="F44" t="s">
        <v>413</v>
      </c>
      <c r="G44" t="s">
        <v>340</v>
      </c>
      <c r="P44">
        <v>5</v>
      </c>
      <c r="Q44">
        <v>0</v>
      </c>
      <c r="R44">
        <v>15574</v>
      </c>
      <c r="S44">
        <v>0.47425978829999998</v>
      </c>
      <c r="T44">
        <v>0.72963044349999995</v>
      </c>
      <c r="U44">
        <v>0.72963044349999995</v>
      </c>
      <c r="V44">
        <v>1.3619768278</v>
      </c>
      <c r="W44">
        <v>1</v>
      </c>
      <c r="X44">
        <v>10</v>
      </c>
      <c r="Y44">
        <v>4923</v>
      </c>
      <c r="Z44">
        <v>9836</v>
      </c>
      <c r="AA44">
        <v>2</v>
      </c>
      <c r="AB44" t="b">
        <v>1</v>
      </c>
      <c r="AC44">
        <v>22.500900022</v>
      </c>
      <c r="AD44" t="b">
        <v>0</v>
      </c>
      <c r="AE44">
        <v>1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4.2765087632999998</v>
      </c>
      <c r="AL44">
        <v>1</v>
      </c>
      <c r="AM44">
        <v>0</v>
      </c>
      <c r="AN44">
        <v>0</v>
      </c>
      <c r="AO44">
        <v>4.6093262558000001</v>
      </c>
      <c r="AP44">
        <v>3.7330507112000002</v>
      </c>
      <c r="AQ44">
        <v>1</v>
      </c>
      <c r="AR44">
        <v>31.236509071</v>
      </c>
      <c r="AS44">
        <v>128.50539626</v>
      </c>
      <c r="AT44">
        <v>0</v>
      </c>
      <c r="AU44">
        <v>7.2</v>
      </c>
      <c r="AV44">
        <v>5.5555555555999998</v>
      </c>
      <c r="AW44">
        <v>2.7972027972000002</v>
      </c>
      <c r="AX44">
        <v>111.88811189</v>
      </c>
      <c r="AY44">
        <v>40</v>
      </c>
      <c r="AZ44">
        <v>15.540015540000001</v>
      </c>
      <c r="BA44">
        <v>1.3619768278</v>
      </c>
      <c r="BB44">
        <v>1.0939112487</v>
      </c>
      <c r="BC44">
        <v>1.1320754716999999</v>
      </c>
      <c r="BD44">
        <v>0.27106466359999998</v>
      </c>
      <c r="BE44">
        <v>0.6265060241</v>
      </c>
      <c r="BF44">
        <v>0.35739594969999999</v>
      </c>
      <c r="BG44">
        <v>0.81029551950000001</v>
      </c>
      <c r="BH44">
        <v>0</v>
      </c>
      <c r="BI44">
        <v>0.7</v>
      </c>
      <c r="BJ44">
        <v>0</v>
      </c>
      <c r="BK44">
        <v>0.2141801646</v>
      </c>
      <c r="BL44">
        <v>0.22305017569999999</v>
      </c>
      <c r="BM44">
        <v>0.48427672955974799</v>
      </c>
      <c r="BN44">
        <v>1</v>
      </c>
      <c r="BO44">
        <v>0.30893719419999999</v>
      </c>
      <c r="BP44">
        <v>1.3619768278</v>
      </c>
      <c r="BQ44">
        <v>1</v>
      </c>
      <c r="BR44">
        <v>0</v>
      </c>
      <c r="BS44">
        <v>1</v>
      </c>
      <c r="BT44">
        <v>0</v>
      </c>
      <c r="BU44">
        <v>0</v>
      </c>
      <c r="BV44">
        <v>1.3619768278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1.3619768278</v>
      </c>
      <c r="CJ44">
        <v>0</v>
      </c>
      <c r="CK44">
        <v>0</v>
      </c>
      <c r="CL44">
        <v>6.3053249328999996</v>
      </c>
      <c r="CM44">
        <v>25.417330572000001</v>
      </c>
      <c r="CN44">
        <v>152.9775659</v>
      </c>
      <c r="CO44">
        <v>6.1061455048999997</v>
      </c>
      <c r="CP44" s="9">
        <v>11.888805122000001</v>
      </c>
      <c r="CQ44" s="9">
        <v>28.758617078</v>
      </c>
      <c r="CR44" s="9">
        <v>182.55281099000001</v>
      </c>
      <c r="CS44" s="9">
        <v>5.1320120940000002</v>
      </c>
      <c r="CT44">
        <v>0</v>
      </c>
      <c r="CU44">
        <v>1</v>
      </c>
      <c r="CV44">
        <v>0</v>
      </c>
      <c r="CW44">
        <v>0.73422688229999999</v>
      </c>
      <c r="CX44">
        <v>0.30893719419999999</v>
      </c>
      <c r="CY44">
        <v>4</v>
      </c>
    </row>
    <row r="45" spans="1:103" x14ac:dyDescent="0.25">
      <c r="A45" t="s">
        <v>410</v>
      </c>
      <c r="B45" t="s">
        <v>417</v>
      </c>
      <c r="C45">
        <v>1</v>
      </c>
      <c r="D45">
        <v>0</v>
      </c>
      <c r="E45" t="s">
        <v>412</v>
      </c>
      <c r="F45" t="s">
        <v>413</v>
      </c>
      <c r="G45" t="s">
        <v>341</v>
      </c>
    </row>
    <row r="46" spans="1:103" x14ac:dyDescent="0.25">
      <c r="A46" t="s">
        <v>410</v>
      </c>
      <c r="B46" t="s">
        <v>417</v>
      </c>
      <c r="C46">
        <v>1</v>
      </c>
      <c r="D46">
        <v>0</v>
      </c>
      <c r="E46" t="s">
        <v>414</v>
      </c>
      <c r="F46" t="s">
        <v>413</v>
      </c>
      <c r="G46" t="s">
        <v>342</v>
      </c>
      <c r="CP46" s="10" t="str">
        <f>ROUND(CP26,1)&amp;" ("&amp;ROUND(CP40,1)&amp;")"</f>
        <v>11.3 (12.4)</v>
      </c>
      <c r="CQ46" s="10" t="str">
        <f t="shared" ref="CQ46:CS46" si="0">ROUND(CQ26,1)&amp;" ("&amp;ROUND(CQ40,1)&amp;")"</f>
        <v>28.5 (22.5)</v>
      </c>
      <c r="CR46" s="10" t="str">
        <f t="shared" si="0"/>
        <v>176.7 (183.6)</v>
      </c>
      <c r="CS46" s="10" t="str">
        <f t="shared" si="0"/>
        <v>4.5 (5.1)</v>
      </c>
    </row>
    <row r="47" spans="1:103" x14ac:dyDescent="0.25">
      <c r="A47" t="s">
        <v>410</v>
      </c>
      <c r="B47" t="s">
        <v>417</v>
      </c>
      <c r="C47">
        <v>1</v>
      </c>
      <c r="D47">
        <v>0</v>
      </c>
      <c r="E47" t="s">
        <v>415</v>
      </c>
      <c r="F47" t="s">
        <v>413</v>
      </c>
      <c r="G47" t="s">
        <v>343</v>
      </c>
      <c r="CP47" s="10" t="str">
        <f t="shared" ref="CP47:CS47" si="1">ROUND(CP27,1)&amp;" ("&amp;ROUND(CP41,1)&amp;")"</f>
        <v>11.6 (11.1)</v>
      </c>
      <c r="CQ47" s="10" t="str">
        <f t="shared" si="1"/>
        <v>18.6 (35.4)</v>
      </c>
      <c r="CR47" s="10" t="str">
        <f t="shared" si="1"/>
        <v>188.5 (177.8)</v>
      </c>
      <c r="CS47" s="10" t="str">
        <f t="shared" si="1"/>
        <v>4.9 (4.7)</v>
      </c>
    </row>
    <row r="48" spans="1:103" x14ac:dyDescent="0.25">
      <c r="A48" t="s">
        <v>410</v>
      </c>
      <c r="B48" t="s">
        <v>417</v>
      </c>
      <c r="C48">
        <v>1</v>
      </c>
      <c r="D48">
        <v>0</v>
      </c>
      <c r="E48" t="s">
        <v>416</v>
      </c>
      <c r="F48" t="s">
        <v>413</v>
      </c>
      <c r="G48" t="s">
        <v>344</v>
      </c>
      <c r="CP48" s="10" t="str">
        <f t="shared" ref="CP48:CS48" si="2">ROUND(CP28,1)&amp;" ("&amp;ROUND(CP42,1)&amp;")"</f>
        <v>11.6 (11.2)</v>
      </c>
      <c r="CQ48" s="10" t="str">
        <f t="shared" si="2"/>
        <v>37.4 (38.3)</v>
      </c>
      <c r="CR48" s="10" t="str">
        <f t="shared" si="2"/>
        <v>179.7 (183.2)</v>
      </c>
      <c r="CS48" s="10" t="str">
        <f t="shared" si="2"/>
        <v>5.6 (5)</v>
      </c>
    </row>
    <row r="49" spans="1:97" x14ac:dyDescent="0.25">
      <c r="A49" t="s">
        <v>418</v>
      </c>
      <c r="B49" t="s">
        <v>411</v>
      </c>
      <c r="C49">
        <v>0</v>
      </c>
      <c r="D49">
        <v>0</v>
      </c>
      <c r="E49" t="s">
        <v>412</v>
      </c>
      <c r="F49" t="s">
        <v>419</v>
      </c>
      <c r="G49" t="s">
        <v>162</v>
      </c>
      <c r="CP49" s="10" t="str">
        <f t="shared" ref="CP49:CS49" si="3">ROUND(CP29,1)&amp;" ("&amp;ROUND(CP43,1)&amp;")"</f>
        <v>11.8 (11.9)</v>
      </c>
      <c r="CQ49" s="10" t="str">
        <f t="shared" si="3"/>
        <v>15.6 (20.6)</v>
      </c>
      <c r="CR49" s="10" t="str">
        <f t="shared" si="3"/>
        <v>186.8 (187.7)</v>
      </c>
      <c r="CS49" s="10" t="str">
        <f t="shared" si="3"/>
        <v>4.7 (4.7)</v>
      </c>
    </row>
    <row r="50" spans="1:97" x14ac:dyDescent="0.25">
      <c r="A50" t="s">
        <v>418</v>
      </c>
      <c r="B50" t="s">
        <v>411</v>
      </c>
      <c r="C50">
        <v>0</v>
      </c>
      <c r="D50">
        <v>0</v>
      </c>
      <c r="E50" t="s">
        <v>414</v>
      </c>
      <c r="F50" t="s">
        <v>419</v>
      </c>
      <c r="G50" t="s">
        <v>165</v>
      </c>
      <c r="CP50" s="10" t="str">
        <f t="shared" ref="CP50:CS50" si="4">ROUND(CP30,1)&amp;" ("&amp;ROUND(CP44,1)&amp;")"</f>
        <v>11.2 (11.9)</v>
      </c>
      <c r="CQ50" s="10" t="str">
        <f t="shared" si="4"/>
        <v>38.9 (28.8)</v>
      </c>
      <c r="CR50" s="10" t="str">
        <f t="shared" si="4"/>
        <v>185 (182.6)</v>
      </c>
      <c r="CS50" s="10" t="str">
        <f t="shared" si="4"/>
        <v>5 (5.1)</v>
      </c>
    </row>
    <row r="51" spans="1:97" x14ac:dyDescent="0.25">
      <c r="A51" t="s">
        <v>418</v>
      </c>
      <c r="B51" t="s">
        <v>411</v>
      </c>
      <c r="C51">
        <v>0</v>
      </c>
      <c r="D51">
        <v>0</v>
      </c>
      <c r="E51" t="s">
        <v>412</v>
      </c>
      <c r="F51" t="s">
        <v>420</v>
      </c>
      <c r="G51" t="s">
        <v>166</v>
      </c>
    </row>
    <row r="52" spans="1:97" x14ac:dyDescent="0.25">
      <c r="A52" t="s">
        <v>418</v>
      </c>
      <c r="B52" t="s">
        <v>411</v>
      </c>
      <c r="C52">
        <v>0</v>
      </c>
      <c r="D52">
        <v>0</v>
      </c>
      <c r="E52" t="s">
        <v>414</v>
      </c>
      <c r="F52" t="s">
        <v>420</v>
      </c>
      <c r="G52" t="s">
        <v>167</v>
      </c>
    </row>
    <row r="53" spans="1:97" x14ac:dyDescent="0.25">
      <c r="A53" t="s">
        <v>418</v>
      </c>
      <c r="B53" t="s">
        <v>411</v>
      </c>
      <c r="C53">
        <v>0</v>
      </c>
      <c r="D53">
        <v>0</v>
      </c>
      <c r="E53" t="s">
        <v>415</v>
      </c>
      <c r="F53" t="s">
        <v>419</v>
      </c>
      <c r="G53" t="s">
        <v>345</v>
      </c>
    </row>
    <row r="54" spans="1:97" x14ac:dyDescent="0.25">
      <c r="A54" t="s">
        <v>418</v>
      </c>
      <c r="B54" t="s">
        <v>411</v>
      </c>
      <c r="C54">
        <v>0</v>
      </c>
      <c r="D54">
        <v>0</v>
      </c>
      <c r="E54" t="s">
        <v>416</v>
      </c>
      <c r="F54" t="s">
        <v>419</v>
      </c>
      <c r="G54" t="s">
        <v>346</v>
      </c>
    </row>
    <row r="55" spans="1:97" x14ac:dyDescent="0.25">
      <c r="A55" t="s">
        <v>418</v>
      </c>
      <c r="B55" t="s">
        <v>411</v>
      </c>
      <c r="C55">
        <v>0</v>
      </c>
      <c r="D55">
        <v>0</v>
      </c>
      <c r="E55" t="s">
        <v>415</v>
      </c>
      <c r="F55" t="s">
        <v>420</v>
      </c>
      <c r="G55" t="s">
        <v>385</v>
      </c>
    </row>
    <row r="56" spans="1:97" x14ac:dyDescent="0.25">
      <c r="A56" t="s">
        <v>418</v>
      </c>
      <c r="B56" t="s">
        <v>411</v>
      </c>
      <c r="C56">
        <v>0</v>
      </c>
      <c r="D56">
        <v>0</v>
      </c>
      <c r="E56" t="s">
        <v>416</v>
      </c>
      <c r="F56" t="s">
        <v>420</v>
      </c>
      <c r="G56" t="s">
        <v>386</v>
      </c>
    </row>
    <row r="57" spans="1:97" x14ac:dyDescent="0.25">
      <c r="A57" t="s">
        <v>418</v>
      </c>
      <c r="B57" t="s">
        <v>417</v>
      </c>
      <c r="C57">
        <v>0</v>
      </c>
      <c r="D57">
        <v>0</v>
      </c>
      <c r="E57" t="s">
        <v>412</v>
      </c>
      <c r="F57" t="s">
        <v>419</v>
      </c>
      <c r="G57" t="s">
        <v>347</v>
      </c>
    </row>
    <row r="58" spans="1:97" x14ac:dyDescent="0.25">
      <c r="A58" t="s">
        <v>418</v>
      </c>
      <c r="B58" t="s">
        <v>417</v>
      </c>
      <c r="C58">
        <v>0</v>
      </c>
      <c r="D58">
        <v>0</v>
      </c>
      <c r="E58" t="s">
        <v>414</v>
      </c>
      <c r="F58" t="s">
        <v>419</v>
      </c>
      <c r="G58" t="s">
        <v>348</v>
      </c>
    </row>
    <row r="59" spans="1:97" x14ac:dyDescent="0.25">
      <c r="A59" t="s">
        <v>418</v>
      </c>
      <c r="B59" t="s">
        <v>417</v>
      </c>
      <c r="C59">
        <v>0</v>
      </c>
      <c r="D59">
        <v>0</v>
      </c>
      <c r="E59" t="s">
        <v>412</v>
      </c>
      <c r="F59" t="s">
        <v>420</v>
      </c>
      <c r="G59" t="s">
        <v>387</v>
      </c>
    </row>
    <row r="60" spans="1:97" x14ac:dyDescent="0.25">
      <c r="A60" t="s">
        <v>418</v>
      </c>
      <c r="B60" t="s">
        <v>417</v>
      </c>
      <c r="C60">
        <v>0</v>
      </c>
      <c r="D60">
        <v>0</v>
      </c>
      <c r="E60" t="s">
        <v>414</v>
      </c>
      <c r="F60" t="s">
        <v>420</v>
      </c>
      <c r="G60" t="s">
        <v>388</v>
      </c>
    </row>
    <row r="61" spans="1:97" x14ac:dyDescent="0.25">
      <c r="A61" t="s">
        <v>418</v>
      </c>
      <c r="B61" t="s">
        <v>417</v>
      </c>
      <c r="C61">
        <v>0</v>
      </c>
      <c r="D61">
        <v>0</v>
      </c>
      <c r="E61" t="s">
        <v>415</v>
      </c>
      <c r="F61" t="s">
        <v>419</v>
      </c>
      <c r="G61" t="s">
        <v>349</v>
      </c>
    </row>
    <row r="62" spans="1:97" x14ac:dyDescent="0.25">
      <c r="A62" t="s">
        <v>418</v>
      </c>
      <c r="B62" t="s">
        <v>417</v>
      </c>
      <c r="C62">
        <v>0</v>
      </c>
      <c r="D62">
        <v>0</v>
      </c>
      <c r="E62" t="s">
        <v>416</v>
      </c>
      <c r="F62" t="s">
        <v>419</v>
      </c>
      <c r="G62" t="s">
        <v>350</v>
      </c>
    </row>
    <row r="63" spans="1:97" x14ac:dyDescent="0.25">
      <c r="A63" t="s">
        <v>418</v>
      </c>
      <c r="B63" t="s">
        <v>417</v>
      </c>
      <c r="C63">
        <v>0</v>
      </c>
      <c r="D63">
        <v>0</v>
      </c>
      <c r="E63" t="s">
        <v>415</v>
      </c>
      <c r="F63" t="s">
        <v>420</v>
      </c>
      <c r="G63" t="s">
        <v>389</v>
      </c>
    </row>
    <row r="64" spans="1:97" x14ac:dyDescent="0.25">
      <c r="A64" t="s">
        <v>418</v>
      </c>
      <c r="B64" t="s">
        <v>417</v>
      </c>
      <c r="C64">
        <v>0</v>
      </c>
      <c r="D64">
        <v>0</v>
      </c>
      <c r="E64" t="s">
        <v>416</v>
      </c>
      <c r="F64" t="s">
        <v>420</v>
      </c>
      <c r="G64" t="s">
        <v>390</v>
      </c>
      <c r="K64" s="8"/>
      <c r="L64" s="8"/>
    </row>
    <row r="65" spans="1:7" x14ac:dyDescent="0.25">
      <c r="A65" t="s">
        <v>421</v>
      </c>
      <c r="B65" t="s">
        <v>411</v>
      </c>
      <c r="C65">
        <v>1</v>
      </c>
      <c r="D65">
        <v>1</v>
      </c>
      <c r="E65" t="s">
        <v>412</v>
      </c>
      <c r="F65" t="s">
        <v>413</v>
      </c>
      <c r="G65" t="s">
        <v>163</v>
      </c>
    </row>
    <row r="66" spans="1:7" x14ac:dyDescent="0.25">
      <c r="A66" t="s">
        <v>421</v>
      </c>
      <c r="B66" t="s">
        <v>411</v>
      </c>
      <c r="C66">
        <v>1</v>
      </c>
      <c r="D66">
        <v>1</v>
      </c>
      <c r="E66" t="s">
        <v>414</v>
      </c>
      <c r="F66" t="s">
        <v>413</v>
      </c>
      <c r="G66" t="s">
        <v>168</v>
      </c>
    </row>
    <row r="67" spans="1:7" x14ac:dyDescent="0.25">
      <c r="A67" t="s">
        <v>421</v>
      </c>
      <c r="B67" t="s">
        <v>411</v>
      </c>
      <c r="C67">
        <v>1</v>
      </c>
      <c r="D67">
        <v>1</v>
      </c>
      <c r="E67" t="s">
        <v>415</v>
      </c>
      <c r="F67" t="s">
        <v>413</v>
      </c>
      <c r="G67" t="s">
        <v>351</v>
      </c>
    </row>
    <row r="68" spans="1:7" x14ac:dyDescent="0.25">
      <c r="A68" t="s">
        <v>421</v>
      </c>
      <c r="B68" t="s">
        <v>411</v>
      </c>
      <c r="C68">
        <v>1</v>
      </c>
      <c r="D68">
        <v>1</v>
      </c>
      <c r="E68" t="s">
        <v>416</v>
      </c>
      <c r="F68" t="s">
        <v>413</v>
      </c>
      <c r="G68" t="s">
        <v>352</v>
      </c>
    </row>
    <row r="69" spans="1:7" x14ac:dyDescent="0.25">
      <c r="A69" t="s">
        <v>421</v>
      </c>
      <c r="B69" t="s">
        <v>417</v>
      </c>
      <c r="C69">
        <v>1</v>
      </c>
      <c r="D69">
        <v>1</v>
      </c>
      <c r="E69" t="s">
        <v>412</v>
      </c>
      <c r="F69" t="s">
        <v>413</v>
      </c>
      <c r="G69" t="s">
        <v>353</v>
      </c>
    </row>
    <row r="70" spans="1:7" x14ac:dyDescent="0.25">
      <c r="A70" t="s">
        <v>421</v>
      </c>
      <c r="B70" t="s">
        <v>417</v>
      </c>
      <c r="C70">
        <v>1</v>
      </c>
      <c r="D70">
        <v>1</v>
      </c>
      <c r="E70" t="s">
        <v>414</v>
      </c>
      <c r="F70" t="s">
        <v>413</v>
      </c>
      <c r="G70" t="s">
        <v>354</v>
      </c>
    </row>
    <row r="71" spans="1:7" x14ac:dyDescent="0.25">
      <c r="A71" t="s">
        <v>421</v>
      </c>
      <c r="B71" t="s">
        <v>417</v>
      </c>
      <c r="C71">
        <v>1</v>
      </c>
      <c r="D71">
        <v>1</v>
      </c>
      <c r="E71" t="s">
        <v>415</v>
      </c>
      <c r="F71" t="s">
        <v>413</v>
      </c>
      <c r="G71" t="s">
        <v>355</v>
      </c>
    </row>
    <row r="72" spans="1:7" x14ac:dyDescent="0.25">
      <c r="A72" t="s">
        <v>421</v>
      </c>
      <c r="B72" t="s">
        <v>417</v>
      </c>
      <c r="C72">
        <v>1</v>
      </c>
      <c r="D72">
        <v>1</v>
      </c>
      <c r="E72" t="s">
        <v>416</v>
      </c>
      <c r="F72" t="s">
        <v>413</v>
      </c>
      <c r="G72" t="s">
        <v>356</v>
      </c>
    </row>
    <row r="73" spans="1:7" x14ac:dyDescent="0.25">
      <c r="A73" t="s">
        <v>422</v>
      </c>
      <c r="B73" t="s">
        <v>411</v>
      </c>
      <c r="C73">
        <v>0</v>
      </c>
      <c r="D73">
        <v>1</v>
      </c>
      <c r="E73" t="s">
        <v>412</v>
      </c>
      <c r="F73" t="s">
        <v>419</v>
      </c>
      <c r="G73" t="s">
        <v>164</v>
      </c>
    </row>
    <row r="74" spans="1:7" x14ac:dyDescent="0.25">
      <c r="A74" t="s">
        <v>422</v>
      </c>
      <c r="B74" t="s">
        <v>411</v>
      </c>
      <c r="C74">
        <v>0</v>
      </c>
      <c r="D74">
        <v>1</v>
      </c>
      <c r="E74" t="s">
        <v>414</v>
      </c>
      <c r="F74" t="s">
        <v>419</v>
      </c>
      <c r="G74" t="s">
        <v>169</v>
      </c>
    </row>
    <row r="75" spans="1:7" x14ac:dyDescent="0.25">
      <c r="A75" t="s">
        <v>422</v>
      </c>
      <c r="B75" t="s">
        <v>411</v>
      </c>
      <c r="C75">
        <v>0</v>
      </c>
      <c r="D75">
        <v>1</v>
      </c>
      <c r="E75" t="s">
        <v>412</v>
      </c>
      <c r="F75" t="s">
        <v>420</v>
      </c>
      <c r="G75" t="s">
        <v>170</v>
      </c>
    </row>
    <row r="76" spans="1:7" x14ac:dyDescent="0.25">
      <c r="A76" t="s">
        <v>422</v>
      </c>
      <c r="B76" t="s">
        <v>411</v>
      </c>
      <c r="C76">
        <v>0</v>
      </c>
      <c r="D76">
        <v>1</v>
      </c>
      <c r="E76" t="s">
        <v>414</v>
      </c>
      <c r="F76" t="s">
        <v>420</v>
      </c>
      <c r="G76" t="s">
        <v>171</v>
      </c>
    </row>
    <row r="77" spans="1:7" x14ac:dyDescent="0.25">
      <c r="A77" t="s">
        <v>422</v>
      </c>
      <c r="B77" t="s">
        <v>411</v>
      </c>
      <c r="C77">
        <v>0</v>
      </c>
      <c r="D77">
        <v>1</v>
      </c>
      <c r="E77" t="s">
        <v>415</v>
      </c>
      <c r="F77" t="s">
        <v>419</v>
      </c>
      <c r="G77" t="s">
        <v>357</v>
      </c>
    </row>
    <row r="78" spans="1:7" x14ac:dyDescent="0.25">
      <c r="A78" t="s">
        <v>422</v>
      </c>
      <c r="B78" t="s">
        <v>411</v>
      </c>
      <c r="C78">
        <v>0</v>
      </c>
      <c r="D78">
        <v>1</v>
      </c>
      <c r="E78" t="s">
        <v>416</v>
      </c>
      <c r="F78" t="s">
        <v>419</v>
      </c>
      <c r="G78" t="s">
        <v>358</v>
      </c>
    </row>
    <row r="79" spans="1:7" x14ac:dyDescent="0.25">
      <c r="A79" t="s">
        <v>422</v>
      </c>
      <c r="B79" t="s">
        <v>411</v>
      </c>
      <c r="C79">
        <v>0</v>
      </c>
      <c r="D79">
        <v>1</v>
      </c>
      <c r="E79" t="s">
        <v>415</v>
      </c>
      <c r="F79" t="s">
        <v>420</v>
      </c>
      <c r="G79" t="s">
        <v>391</v>
      </c>
    </row>
    <row r="80" spans="1:7" x14ac:dyDescent="0.25">
      <c r="A80" t="s">
        <v>422</v>
      </c>
      <c r="B80" t="s">
        <v>411</v>
      </c>
      <c r="C80">
        <v>0</v>
      </c>
      <c r="D80">
        <v>1</v>
      </c>
      <c r="E80" t="s">
        <v>416</v>
      </c>
      <c r="F80" t="s">
        <v>420</v>
      </c>
      <c r="G80" t="s">
        <v>392</v>
      </c>
    </row>
    <row r="81" spans="1:7" x14ac:dyDescent="0.25">
      <c r="A81" t="s">
        <v>422</v>
      </c>
      <c r="B81" t="s">
        <v>417</v>
      </c>
      <c r="C81">
        <v>0</v>
      </c>
      <c r="D81">
        <v>1</v>
      </c>
      <c r="E81" t="s">
        <v>412</v>
      </c>
      <c r="F81" t="s">
        <v>419</v>
      </c>
      <c r="G81" t="s">
        <v>359</v>
      </c>
    </row>
    <row r="82" spans="1:7" x14ac:dyDescent="0.25">
      <c r="A82" t="s">
        <v>422</v>
      </c>
      <c r="B82" t="s">
        <v>417</v>
      </c>
      <c r="C82">
        <v>0</v>
      </c>
      <c r="D82">
        <v>1</v>
      </c>
      <c r="E82" t="s">
        <v>414</v>
      </c>
      <c r="F82" t="s">
        <v>419</v>
      </c>
      <c r="G82" t="s">
        <v>360</v>
      </c>
    </row>
    <row r="83" spans="1:7" x14ac:dyDescent="0.25">
      <c r="A83" t="s">
        <v>422</v>
      </c>
      <c r="B83" t="s">
        <v>417</v>
      </c>
      <c r="C83">
        <v>0</v>
      </c>
      <c r="D83">
        <v>1</v>
      </c>
      <c r="E83" t="s">
        <v>412</v>
      </c>
      <c r="F83" t="s">
        <v>420</v>
      </c>
      <c r="G83" t="s">
        <v>393</v>
      </c>
    </row>
    <row r="84" spans="1:7" x14ac:dyDescent="0.25">
      <c r="A84" t="s">
        <v>422</v>
      </c>
      <c r="B84" t="s">
        <v>417</v>
      </c>
      <c r="C84">
        <v>0</v>
      </c>
      <c r="D84">
        <v>1</v>
      </c>
      <c r="E84" t="s">
        <v>414</v>
      </c>
      <c r="F84" t="s">
        <v>420</v>
      </c>
      <c r="G84" t="s">
        <v>394</v>
      </c>
    </row>
    <row r="85" spans="1:7" x14ac:dyDescent="0.25">
      <c r="A85" t="s">
        <v>422</v>
      </c>
      <c r="B85" t="s">
        <v>417</v>
      </c>
      <c r="C85">
        <v>0</v>
      </c>
      <c r="D85">
        <v>1</v>
      </c>
      <c r="E85" t="s">
        <v>415</v>
      </c>
      <c r="F85" t="s">
        <v>419</v>
      </c>
      <c r="G85" t="s">
        <v>361</v>
      </c>
    </row>
    <row r="86" spans="1:7" x14ac:dyDescent="0.25">
      <c r="A86" t="s">
        <v>422</v>
      </c>
      <c r="B86" t="s">
        <v>417</v>
      </c>
      <c r="C86">
        <v>0</v>
      </c>
      <c r="D86">
        <v>1</v>
      </c>
      <c r="E86" t="s">
        <v>416</v>
      </c>
      <c r="F86" t="s">
        <v>419</v>
      </c>
      <c r="G86" t="s">
        <v>362</v>
      </c>
    </row>
    <row r="87" spans="1:7" x14ac:dyDescent="0.25">
      <c r="A87" t="s">
        <v>422</v>
      </c>
      <c r="B87" t="s">
        <v>417</v>
      </c>
      <c r="C87">
        <v>0</v>
      </c>
      <c r="D87">
        <v>1</v>
      </c>
      <c r="E87" t="s">
        <v>415</v>
      </c>
      <c r="F87" t="s">
        <v>420</v>
      </c>
      <c r="G87" t="s">
        <v>395</v>
      </c>
    </row>
    <row r="88" spans="1:7" x14ac:dyDescent="0.25">
      <c r="A88" t="s">
        <v>422</v>
      </c>
      <c r="B88" t="s">
        <v>417</v>
      </c>
      <c r="C88">
        <v>0</v>
      </c>
      <c r="D88">
        <v>1</v>
      </c>
      <c r="E88" t="s">
        <v>416</v>
      </c>
      <c r="F88" t="s">
        <v>420</v>
      </c>
      <c r="G88" t="s">
        <v>396</v>
      </c>
    </row>
    <row r="89" spans="1:7" x14ac:dyDescent="0.25">
      <c r="A89" t="s">
        <v>423</v>
      </c>
      <c r="B89" t="s">
        <v>411</v>
      </c>
      <c r="C89">
        <v>1</v>
      </c>
      <c r="D89">
        <v>2</v>
      </c>
      <c r="E89" t="s">
        <v>412</v>
      </c>
      <c r="F89" t="s">
        <v>413</v>
      </c>
      <c r="G89" t="s">
        <v>172</v>
      </c>
    </row>
    <row r="90" spans="1:7" x14ac:dyDescent="0.25">
      <c r="A90" t="s">
        <v>423</v>
      </c>
      <c r="B90" t="s">
        <v>411</v>
      </c>
      <c r="C90">
        <v>1</v>
      </c>
      <c r="D90">
        <v>2</v>
      </c>
      <c r="E90" t="s">
        <v>414</v>
      </c>
      <c r="F90" t="s">
        <v>413</v>
      </c>
      <c r="G90" t="s">
        <v>173</v>
      </c>
    </row>
    <row r="91" spans="1:7" x14ac:dyDescent="0.25">
      <c r="A91" t="s">
        <v>423</v>
      </c>
      <c r="B91" t="s">
        <v>411</v>
      </c>
      <c r="C91">
        <v>1</v>
      </c>
      <c r="D91">
        <v>2</v>
      </c>
      <c r="E91" t="s">
        <v>415</v>
      </c>
      <c r="F91" t="s">
        <v>413</v>
      </c>
      <c r="G91" t="s">
        <v>363</v>
      </c>
    </row>
    <row r="92" spans="1:7" x14ac:dyDescent="0.25">
      <c r="A92" t="s">
        <v>423</v>
      </c>
      <c r="B92" t="s">
        <v>411</v>
      </c>
      <c r="C92">
        <v>1</v>
      </c>
      <c r="D92">
        <v>2</v>
      </c>
      <c r="E92" t="s">
        <v>416</v>
      </c>
      <c r="F92" t="s">
        <v>413</v>
      </c>
      <c r="G92" t="s">
        <v>364</v>
      </c>
    </row>
    <row r="93" spans="1:7" x14ac:dyDescent="0.25">
      <c r="A93" t="s">
        <v>423</v>
      </c>
      <c r="B93" t="s">
        <v>417</v>
      </c>
      <c r="C93">
        <v>1</v>
      </c>
      <c r="D93">
        <v>2</v>
      </c>
      <c r="E93" t="s">
        <v>412</v>
      </c>
      <c r="F93" t="s">
        <v>413</v>
      </c>
      <c r="G93" t="s">
        <v>365</v>
      </c>
    </row>
    <row r="94" spans="1:7" x14ac:dyDescent="0.25">
      <c r="A94" t="s">
        <v>423</v>
      </c>
      <c r="B94" t="s">
        <v>417</v>
      </c>
      <c r="C94">
        <v>1</v>
      </c>
      <c r="D94">
        <v>2</v>
      </c>
      <c r="E94" t="s">
        <v>414</v>
      </c>
      <c r="F94" t="s">
        <v>413</v>
      </c>
      <c r="G94" t="s">
        <v>366</v>
      </c>
    </row>
    <row r="95" spans="1:7" x14ac:dyDescent="0.25">
      <c r="A95" t="s">
        <v>423</v>
      </c>
      <c r="B95" t="s">
        <v>417</v>
      </c>
      <c r="C95">
        <v>1</v>
      </c>
      <c r="D95">
        <v>2</v>
      </c>
      <c r="E95" t="s">
        <v>415</v>
      </c>
      <c r="F95" t="s">
        <v>413</v>
      </c>
      <c r="G95" t="s">
        <v>367</v>
      </c>
    </row>
    <row r="96" spans="1:7" x14ac:dyDescent="0.25">
      <c r="A96" t="s">
        <v>423</v>
      </c>
      <c r="B96" t="s">
        <v>417</v>
      </c>
      <c r="C96">
        <v>1</v>
      </c>
      <c r="D96">
        <v>2</v>
      </c>
      <c r="E96" t="s">
        <v>416</v>
      </c>
      <c r="F96" t="s">
        <v>413</v>
      </c>
      <c r="G96" t="s">
        <v>368</v>
      </c>
    </row>
    <row r="97" spans="1:7" x14ac:dyDescent="0.25">
      <c r="A97" t="s">
        <v>424</v>
      </c>
      <c r="B97" t="s">
        <v>411</v>
      </c>
      <c r="C97">
        <v>0</v>
      </c>
      <c r="D97">
        <v>2</v>
      </c>
      <c r="E97" t="s">
        <v>412</v>
      </c>
      <c r="F97" t="s">
        <v>419</v>
      </c>
      <c r="G97" t="s">
        <v>174</v>
      </c>
    </row>
    <row r="98" spans="1:7" x14ac:dyDescent="0.25">
      <c r="A98" t="s">
        <v>424</v>
      </c>
      <c r="B98" t="s">
        <v>411</v>
      </c>
      <c r="C98">
        <v>0</v>
      </c>
      <c r="D98">
        <v>2</v>
      </c>
      <c r="E98" t="s">
        <v>414</v>
      </c>
      <c r="F98" t="s">
        <v>419</v>
      </c>
      <c r="G98" t="s">
        <v>175</v>
      </c>
    </row>
    <row r="99" spans="1:7" x14ac:dyDescent="0.25">
      <c r="A99" t="s">
        <v>424</v>
      </c>
      <c r="B99" t="s">
        <v>411</v>
      </c>
      <c r="C99">
        <v>0</v>
      </c>
      <c r="D99">
        <v>2</v>
      </c>
      <c r="E99" t="s">
        <v>412</v>
      </c>
      <c r="F99" t="s">
        <v>420</v>
      </c>
      <c r="G99" t="s">
        <v>176</v>
      </c>
    </row>
    <row r="100" spans="1:7" x14ac:dyDescent="0.25">
      <c r="A100" t="s">
        <v>424</v>
      </c>
      <c r="B100" t="s">
        <v>411</v>
      </c>
      <c r="C100">
        <v>0</v>
      </c>
      <c r="D100">
        <v>2</v>
      </c>
      <c r="E100" t="s">
        <v>414</v>
      </c>
      <c r="F100" t="s">
        <v>420</v>
      </c>
      <c r="G100" t="s">
        <v>177</v>
      </c>
    </row>
    <row r="101" spans="1:7" x14ac:dyDescent="0.25">
      <c r="A101" t="s">
        <v>424</v>
      </c>
      <c r="B101" t="s">
        <v>411</v>
      </c>
      <c r="C101">
        <v>0</v>
      </c>
      <c r="D101">
        <v>2</v>
      </c>
      <c r="E101" t="s">
        <v>415</v>
      </c>
      <c r="F101" t="s">
        <v>419</v>
      </c>
      <c r="G101" t="s">
        <v>369</v>
      </c>
    </row>
    <row r="102" spans="1:7" x14ac:dyDescent="0.25">
      <c r="A102" t="s">
        <v>424</v>
      </c>
      <c r="B102" t="s">
        <v>411</v>
      </c>
      <c r="C102">
        <v>0</v>
      </c>
      <c r="D102">
        <v>2</v>
      </c>
      <c r="E102" t="s">
        <v>416</v>
      </c>
      <c r="F102" t="s">
        <v>419</v>
      </c>
      <c r="G102" t="s">
        <v>370</v>
      </c>
    </row>
    <row r="103" spans="1:7" x14ac:dyDescent="0.25">
      <c r="A103" t="s">
        <v>424</v>
      </c>
      <c r="B103" t="s">
        <v>411</v>
      </c>
      <c r="C103">
        <v>0</v>
      </c>
      <c r="D103">
        <v>2</v>
      </c>
      <c r="E103" t="s">
        <v>415</v>
      </c>
      <c r="F103" t="s">
        <v>420</v>
      </c>
      <c r="G103" t="s">
        <v>397</v>
      </c>
    </row>
    <row r="104" spans="1:7" x14ac:dyDescent="0.25">
      <c r="A104" t="s">
        <v>424</v>
      </c>
      <c r="B104" t="s">
        <v>411</v>
      </c>
      <c r="C104">
        <v>0</v>
      </c>
      <c r="D104">
        <v>2</v>
      </c>
      <c r="E104" t="s">
        <v>416</v>
      </c>
      <c r="F104" t="s">
        <v>420</v>
      </c>
      <c r="G104" t="s">
        <v>398</v>
      </c>
    </row>
    <row r="105" spans="1:7" x14ac:dyDescent="0.25">
      <c r="A105" t="s">
        <v>424</v>
      </c>
      <c r="B105" t="s">
        <v>417</v>
      </c>
      <c r="C105">
        <v>0</v>
      </c>
      <c r="D105">
        <v>2</v>
      </c>
      <c r="E105" t="s">
        <v>412</v>
      </c>
      <c r="F105" t="s">
        <v>419</v>
      </c>
      <c r="G105" t="s">
        <v>371</v>
      </c>
    </row>
    <row r="106" spans="1:7" x14ac:dyDescent="0.25">
      <c r="A106" t="s">
        <v>424</v>
      </c>
      <c r="B106" t="s">
        <v>417</v>
      </c>
      <c r="C106">
        <v>0</v>
      </c>
      <c r="D106">
        <v>2</v>
      </c>
      <c r="E106" t="s">
        <v>414</v>
      </c>
      <c r="F106" t="s">
        <v>419</v>
      </c>
      <c r="G106" t="s">
        <v>372</v>
      </c>
    </row>
    <row r="107" spans="1:7" x14ac:dyDescent="0.25">
      <c r="A107" t="s">
        <v>424</v>
      </c>
      <c r="B107" t="s">
        <v>417</v>
      </c>
      <c r="C107">
        <v>0</v>
      </c>
      <c r="D107">
        <v>2</v>
      </c>
      <c r="E107" t="s">
        <v>412</v>
      </c>
      <c r="F107" t="s">
        <v>420</v>
      </c>
      <c r="G107" t="s">
        <v>399</v>
      </c>
    </row>
    <row r="108" spans="1:7" x14ac:dyDescent="0.25">
      <c r="A108" t="s">
        <v>424</v>
      </c>
      <c r="B108" t="s">
        <v>417</v>
      </c>
      <c r="C108">
        <v>0</v>
      </c>
      <c r="D108">
        <v>2</v>
      </c>
      <c r="E108" t="s">
        <v>414</v>
      </c>
      <c r="F108" t="s">
        <v>420</v>
      </c>
      <c r="G108" t="s">
        <v>400</v>
      </c>
    </row>
    <row r="109" spans="1:7" x14ac:dyDescent="0.25">
      <c r="A109" t="s">
        <v>424</v>
      </c>
      <c r="B109" t="s">
        <v>417</v>
      </c>
      <c r="C109">
        <v>0</v>
      </c>
      <c r="D109">
        <v>2</v>
      </c>
      <c r="E109" t="s">
        <v>415</v>
      </c>
      <c r="F109" t="s">
        <v>419</v>
      </c>
      <c r="G109" t="s">
        <v>373</v>
      </c>
    </row>
    <row r="110" spans="1:7" x14ac:dyDescent="0.25">
      <c r="A110" t="s">
        <v>424</v>
      </c>
      <c r="B110" t="s">
        <v>417</v>
      </c>
      <c r="C110">
        <v>0</v>
      </c>
      <c r="D110">
        <v>2</v>
      </c>
      <c r="E110" t="s">
        <v>416</v>
      </c>
      <c r="F110" t="s">
        <v>419</v>
      </c>
      <c r="G110" t="s">
        <v>374</v>
      </c>
    </row>
    <row r="111" spans="1:7" x14ac:dyDescent="0.25">
      <c r="A111" t="s">
        <v>424</v>
      </c>
      <c r="B111" t="s">
        <v>417</v>
      </c>
      <c r="C111">
        <v>0</v>
      </c>
      <c r="D111">
        <v>2</v>
      </c>
      <c r="E111" t="s">
        <v>415</v>
      </c>
      <c r="F111" t="s">
        <v>420</v>
      </c>
      <c r="G111" t="s">
        <v>401</v>
      </c>
    </row>
    <row r="112" spans="1:7" x14ac:dyDescent="0.25">
      <c r="A112" t="s">
        <v>424</v>
      </c>
      <c r="B112" t="s">
        <v>417</v>
      </c>
      <c r="C112">
        <v>0</v>
      </c>
      <c r="D112">
        <v>2</v>
      </c>
      <c r="E112" t="s">
        <v>416</v>
      </c>
      <c r="F112" t="s">
        <v>420</v>
      </c>
      <c r="G112" t="s">
        <v>402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7842-9CBD-412B-855C-C313740ECEEF}">
  <dimension ref="A1:Y124"/>
  <sheetViews>
    <sheetView topLeftCell="A12" workbookViewId="0">
      <selection activeCell="I12" sqref="I12"/>
    </sheetView>
  </sheetViews>
  <sheetFormatPr defaultRowHeight="15" x14ac:dyDescent="0.25"/>
  <sheetData>
    <row r="1" spans="1:15" x14ac:dyDescent="0.25">
      <c r="A1" s="2" t="s">
        <v>20</v>
      </c>
    </row>
    <row r="2" spans="1:15" x14ac:dyDescent="0.25">
      <c r="A2" s="1" t="s">
        <v>21</v>
      </c>
      <c r="I2" s="1" t="s">
        <v>22</v>
      </c>
    </row>
    <row r="3" spans="1:15" x14ac:dyDescent="0.25">
      <c r="A3" t="s">
        <v>23</v>
      </c>
      <c r="B3" t="s">
        <v>4</v>
      </c>
      <c r="C3" t="s">
        <v>24</v>
      </c>
      <c r="D3" t="s">
        <v>25</v>
      </c>
      <c r="F3" t="s">
        <v>26</v>
      </c>
      <c r="G3" t="s">
        <v>27</v>
      </c>
      <c r="I3" t="s">
        <v>23</v>
      </c>
      <c r="J3" t="s">
        <v>4</v>
      </c>
      <c r="K3" t="s">
        <v>24</v>
      </c>
      <c r="L3" t="s">
        <v>25</v>
      </c>
      <c r="N3" t="s">
        <v>26</v>
      </c>
      <c r="O3" t="s">
        <v>27</v>
      </c>
    </row>
    <row r="4" spans="1:15" x14ac:dyDescent="0.25">
      <c r="C4" t="s">
        <v>28</v>
      </c>
      <c r="K4" t="s">
        <v>28</v>
      </c>
    </row>
    <row r="5" spans="1:15" x14ac:dyDescent="0.25">
      <c r="A5" t="s">
        <v>12</v>
      </c>
      <c r="B5">
        <v>107.0774</v>
      </c>
      <c r="C5">
        <v>0.1</v>
      </c>
      <c r="D5">
        <v>106.8814</v>
      </c>
      <c r="E5">
        <v>107.2734</v>
      </c>
      <c r="F5">
        <v>1070.56</v>
      </c>
      <c r="G5" t="s">
        <v>29</v>
      </c>
      <c r="I5" t="s">
        <v>12</v>
      </c>
      <c r="J5">
        <v>105.9799</v>
      </c>
      <c r="K5">
        <v>9.7600000000000006E-2</v>
      </c>
      <c r="L5">
        <v>105.78870000000001</v>
      </c>
      <c r="M5">
        <v>106.1712</v>
      </c>
      <c r="N5">
        <v>1086.25</v>
      </c>
      <c r="O5" t="s">
        <v>29</v>
      </c>
    </row>
    <row r="6" spans="1:15" x14ac:dyDescent="0.25">
      <c r="A6" t="s">
        <v>15</v>
      </c>
      <c r="B6">
        <v>-1.6103000000000001</v>
      </c>
      <c r="C6">
        <v>2.3E-2</v>
      </c>
      <c r="D6">
        <v>-1.6554</v>
      </c>
      <c r="E6">
        <v>-1.5651999999999999</v>
      </c>
      <c r="F6">
        <v>-69.92</v>
      </c>
      <c r="G6" t="s">
        <v>29</v>
      </c>
      <c r="I6" t="s">
        <v>15</v>
      </c>
      <c r="J6">
        <v>-1.5933999999999999</v>
      </c>
      <c r="K6">
        <v>2.3E-2</v>
      </c>
      <c r="L6">
        <v>-1.6386000000000001</v>
      </c>
      <c r="M6">
        <v>-1.5483</v>
      </c>
      <c r="N6">
        <v>-69.16</v>
      </c>
      <c r="O6" t="s">
        <v>29</v>
      </c>
    </row>
    <row r="7" spans="1:15" x14ac:dyDescent="0.25">
      <c r="A7" t="s">
        <v>14</v>
      </c>
      <c r="B7">
        <v>8.6966999999999999</v>
      </c>
      <c r="C7">
        <v>2.35E-2</v>
      </c>
      <c r="D7">
        <v>8.6506000000000007</v>
      </c>
      <c r="E7">
        <v>8.7428000000000008</v>
      </c>
      <c r="F7">
        <v>370.04</v>
      </c>
      <c r="G7" t="s">
        <v>29</v>
      </c>
      <c r="I7" t="s">
        <v>14</v>
      </c>
      <c r="J7">
        <v>8.6967999999999996</v>
      </c>
      <c r="K7">
        <v>2.35E-2</v>
      </c>
      <c r="L7">
        <v>8.6507000000000005</v>
      </c>
      <c r="M7">
        <v>8.7429000000000006</v>
      </c>
      <c r="N7">
        <v>369.84</v>
      </c>
      <c r="O7" t="s">
        <v>29</v>
      </c>
    </row>
    <row r="8" spans="1:15" x14ac:dyDescent="0.25">
      <c r="A8" t="s">
        <v>16</v>
      </c>
      <c r="B8">
        <v>-7.9151999999999996</v>
      </c>
      <c r="C8">
        <v>2.7E-2</v>
      </c>
      <c r="D8">
        <v>-7.9680999999999997</v>
      </c>
      <c r="E8">
        <v>-7.8623000000000003</v>
      </c>
      <c r="F8">
        <v>-293.20999999999998</v>
      </c>
      <c r="G8" t="s">
        <v>29</v>
      </c>
      <c r="I8" t="s">
        <v>16</v>
      </c>
      <c r="J8">
        <v>-7.9048999999999996</v>
      </c>
      <c r="K8">
        <v>2.7E-2</v>
      </c>
      <c r="L8">
        <v>-7.9577999999999998</v>
      </c>
      <c r="M8">
        <v>-7.8520000000000003</v>
      </c>
      <c r="N8">
        <v>-292.67</v>
      </c>
      <c r="O8" t="s">
        <v>29</v>
      </c>
    </row>
    <row r="9" spans="1:15" x14ac:dyDescent="0.25">
      <c r="A9" t="s">
        <v>18</v>
      </c>
      <c r="B9">
        <v>2.8400000000000002E-2</v>
      </c>
      <c r="C9">
        <v>1.1000000000000001E-3</v>
      </c>
      <c r="D9">
        <v>2.6200000000000001E-2</v>
      </c>
      <c r="E9">
        <v>3.0599999999999999E-2</v>
      </c>
      <c r="F9">
        <v>25.05</v>
      </c>
      <c r="G9" t="s">
        <v>29</v>
      </c>
      <c r="I9" t="s">
        <v>18</v>
      </c>
      <c r="J9">
        <v>6.8000000000000005E-2</v>
      </c>
      <c r="K9">
        <v>8.0000000000000004E-4</v>
      </c>
      <c r="L9">
        <v>6.6500000000000004E-2</v>
      </c>
      <c r="M9">
        <v>6.9599999999999995E-2</v>
      </c>
      <c r="N9">
        <v>85.5</v>
      </c>
      <c r="O9" t="s">
        <v>29</v>
      </c>
    </row>
    <row r="10" spans="1:15" x14ac:dyDescent="0.25">
      <c r="A10" t="s">
        <v>13</v>
      </c>
      <c r="B10">
        <v>-4.7686000000000002</v>
      </c>
      <c r="C10">
        <v>3.6299999999999999E-2</v>
      </c>
      <c r="D10">
        <v>-4.8398000000000003</v>
      </c>
      <c r="E10">
        <v>-4.6974999999999998</v>
      </c>
      <c r="F10">
        <v>-131.36000000000001</v>
      </c>
      <c r="G10" t="s">
        <v>29</v>
      </c>
      <c r="I10" t="s">
        <v>13</v>
      </c>
      <c r="J10">
        <v>-5.1665999999999999</v>
      </c>
      <c r="K10">
        <v>3.5200000000000002E-2</v>
      </c>
      <c r="L10">
        <v>-5.2355999999999998</v>
      </c>
      <c r="M10">
        <v>-5.0975999999999999</v>
      </c>
      <c r="N10">
        <v>-146.69999999999999</v>
      </c>
      <c r="O10" t="s">
        <v>29</v>
      </c>
    </row>
    <row r="11" spans="1:15" x14ac:dyDescent="0.25">
      <c r="A11" t="s">
        <v>17</v>
      </c>
      <c r="B11">
        <v>5.8681000000000001</v>
      </c>
      <c r="C11">
        <v>1.6000000000000001E-3</v>
      </c>
      <c r="D11">
        <v>5.8650000000000002</v>
      </c>
      <c r="E11">
        <v>5.8712999999999997</v>
      </c>
      <c r="F11">
        <v>3609.5</v>
      </c>
      <c r="G11" t="s">
        <v>29</v>
      </c>
      <c r="I11" t="s">
        <v>17</v>
      </c>
      <c r="J11">
        <v>5.8287000000000004</v>
      </c>
      <c r="K11">
        <v>1.4E-3</v>
      </c>
      <c r="L11">
        <v>5.8258999999999999</v>
      </c>
      <c r="M11">
        <v>5.8314000000000004</v>
      </c>
      <c r="N11">
        <v>4181.62</v>
      </c>
      <c r="O11" t="s">
        <v>29</v>
      </c>
    </row>
    <row r="13" spans="1:15" x14ac:dyDescent="0.25">
      <c r="A13" s="1" t="s">
        <v>30</v>
      </c>
      <c r="I13" s="1" t="s">
        <v>31</v>
      </c>
    </row>
    <row r="14" spans="1:15" x14ac:dyDescent="0.25">
      <c r="A14" t="s">
        <v>23</v>
      </c>
      <c r="B14" t="s">
        <v>4</v>
      </c>
      <c r="C14" t="s">
        <v>24</v>
      </c>
      <c r="D14" t="s">
        <v>25</v>
      </c>
      <c r="F14" t="s">
        <v>26</v>
      </c>
      <c r="G14" t="s">
        <v>27</v>
      </c>
      <c r="I14" t="s">
        <v>23</v>
      </c>
      <c r="J14" t="s">
        <v>4</v>
      </c>
      <c r="K14" t="s">
        <v>24</v>
      </c>
      <c r="L14" t="s">
        <v>25</v>
      </c>
      <c r="N14" t="s">
        <v>26</v>
      </c>
      <c r="O14" t="s">
        <v>27</v>
      </c>
    </row>
    <row r="15" spans="1:15" x14ac:dyDescent="0.25">
      <c r="C15" t="s">
        <v>28</v>
      </c>
      <c r="K15" t="s">
        <v>28</v>
      </c>
    </row>
    <row r="16" spans="1:15" x14ac:dyDescent="0.25">
      <c r="A16" t="s">
        <v>12</v>
      </c>
      <c r="B16">
        <v>107.0774</v>
      </c>
      <c r="C16">
        <v>0.1</v>
      </c>
      <c r="D16">
        <v>106.8814</v>
      </c>
      <c r="E16">
        <v>107.2734</v>
      </c>
      <c r="F16">
        <v>1070.56</v>
      </c>
      <c r="G16" t="s">
        <v>29</v>
      </c>
      <c r="I16" t="s">
        <v>12</v>
      </c>
      <c r="J16">
        <v>105.9799</v>
      </c>
      <c r="K16">
        <v>9.7600000000000006E-2</v>
      </c>
      <c r="L16">
        <v>105.78870000000001</v>
      </c>
      <c r="M16">
        <v>106.1712</v>
      </c>
      <c r="N16">
        <v>1086.25</v>
      </c>
      <c r="O16" t="s">
        <v>29</v>
      </c>
    </row>
    <row r="17" spans="1:25" x14ac:dyDescent="0.25">
      <c r="A17" t="s">
        <v>15</v>
      </c>
      <c r="B17">
        <v>-1.6103000000000001</v>
      </c>
      <c r="C17">
        <v>2.3E-2</v>
      </c>
      <c r="D17">
        <v>-1.6554</v>
      </c>
      <c r="E17">
        <v>-1.5651999999999999</v>
      </c>
      <c r="F17">
        <v>-69.92</v>
      </c>
      <c r="G17" t="s">
        <v>29</v>
      </c>
      <c r="I17" t="s">
        <v>15</v>
      </c>
      <c r="J17">
        <v>-1.5933999999999999</v>
      </c>
      <c r="K17">
        <v>2.3E-2</v>
      </c>
      <c r="L17">
        <v>-1.6386000000000001</v>
      </c>
      <c r="M17">
        <v>-1.5483</v>
      </c>
      <c r="N17">
        <v>-69.16</v>
      </c>
      <c r="O17" t="s">
        <v>29</v>
      </c>
    </row>
    <row r="18" spans="1:25" x14ac:dyDescent="0.25">
      <c r="A18" t="s">
        <v>14</v>
      </c>
      <c r="B18">
        <v>8.6966999999999999</v>
      </c>
      <c r="C18">
        <v>2.35E-2</v>
      </c>
      <c r="D18">
        <v>8.6506000000000007</v>
      </c>
      <c r="E18">
        <v>8.7428000000000008</v>
      </c>
      <c r="F18">
        <v>370.04</v>
      </c>
      <c r="G18" t="s">
        <v>29</v>
      </c>
      <c r="I18" t="s">
        <v>14</v>
      </c>
      <c r="J18">
        <v>8.6967999999999996</v>
      </c>
      <c r="K18">
        <v>2.35E-2</v>
      </c>
      <c r="L18">
        <v>8.6507000000000005</v>
      </c>
      <c r="M18">
        <v>8.7429000000000006</v>
      </c>
      <c r="N18">
        <v>369.84</v>
      </c>
      <c r="O18" t="s">
        <v>29</v>
      </c>
    </row>
    <row r="19" spans="1:25" x14ac:dyDescent="0.25">
      <c r="A19" t="s">
        <v>16</v>
      </c>
      <c r="B19">
        <v>-7.9151999999999996</v>
      </c>
      <c r="C19">
        <v>2.7E-2</v>
      </c>
      <c r="D19">
        <v>-7.9680999999999997</v>
      </c>
      <c r="E19">
        <v>-7.8623000000000003</v>
      </c>
      <c r="F19">
        <v>-293.20999999999998</v>
      </c>
      <c r="G19" t="s">
        <v>29</v>
      </c>
      <c r="I19" t="s">
        <v>16</v>
      </c>
      <c r="J19">
        <v>-7.9048999999999996</v>
      </c>
      <c r="K19">
        <v>2.7E-2</v>
      </c>
      <c r="L19">
        <v>-7.9577999999999998</v>
      </c>
      <c r="M19">
        <v>-7.8520000000000003</v>
      </c>
      <c r="N19">
        <v>-292.67</v>
      </c>
      <c r="O19" t="s">
        <v>29</v>
      </c>
    </row>
    <row r="20" spans="1:25" x14ac:dyDescent="0.25">
      <c r="A20" t="s">
        <v>18</v>
      </c>
      <c r="B20">
        <v>2.8400000000000002E-2</v>
      </c>
      <c r="C20">
        <v>1.1000000000000001E-3</v>
      </c>
      <c r="D20">
        <v>2.6200000000000001E-2</v>
      </c>
      <c r="E20">
        <v>3.0599999999999999E-2</v>
      </c>
      <c r="F20">
        <v>25.05</v>
      </c>
      <c r="G20" t="s">
        <v>29</v>
      </c>
      <c r="I20" t="s">
        <v>18</v>
      </c>
      <c r="J20">
        <v>6.8000000000000005E-2</v>
      </c>
      <c r="K20">
        <v>8.0000000000000004E-4</v>
      </c>
      <c r="L20">
        <v>6.6500000000000004E-2</v>
      </c>
      <c r="M20">
        <v>6.9599999999999995E-2</v>
      </c>
      <c r="N20">
        <v>85.5</v>
      </c>
      <c r="O20" t="s">
        <v>29</v>
      </c>
    </row>
    <row r="21" spans="1:25" x14ac:dyDescent="0.25">
      <c r="A21" t="s">
        <v>13</v>
      </c>
      <c r="B21">
        <v>-4.7686000000000002</v>
      </c>
      <c r="C21">
        <v>3.6299999999999999E-2</v>
      </c>
      <c r="D21">
        <v>-4.8398000000000003</v>
      </c>
      <c r="E21">
        <v>-4.6974999999999998</v>
      </c>
      <c r="F21">
        <v>-131.36000000000001</v>
      </c>
      <c r="G21" t="s">
        <v>29</v>
      </c>
      <c r="I21" t="s">
        <v>13</v>
      </c>
      <c r="J21">
        <v>-5.1665999999999999</v>
      </c>
      <c r="K21">
        <v>3.5200000000000002E-2</v>
      </c>
      <c r="L21">
        <v>-5.2355999999999998</v>
      </c>
      <c r="M21">
        <v>-5.0975999999999999</v>
      </c>
      <c r="N21">
        <v>-146.69999999999999</v>
      </c>
      <c r="O21" t="s">
        <v>29</v>
      </c>
    </row>
    <row r="22" spans="1:25" x14ac:dyDescent="0.25">
      <c r="A22" t="s">
        <v>17</v>
      </c>
      <c r="B22">
        <v>5.8681000000000001</v>
      </c>
      <c r="C22">
        <v>1.6000000000000001E-3</v>
      </c>
      <c r="D22">
        <v>5.8650000000000002</v>
      </c>
      <c r="E22">
        <v>5.8712999999999997</v>
      </c>
      <c r="F22">
        <v>3609.5</v>
      </c>
      <c r="G22" t="s">
        <v>29</v>
      </c>
      <c r="I22" t="s">
        <v>17</v>
      </c>
      <c r="J22">
        <v>5.8287000000000004</v>
      </c>
      <c r="K22">
        <v>1.4E-3</v>
      </c>
      <c r="L22">
        <v>5.8258999999999999</v>
      </c>
      <c r="M22">
        <v>5.8314000000000004</v>
      </c>
      <c r="N22">
        <v>4181.62</v>
      </c>
      <c r="O22" t="s">
        <v>29</v>
      </c>
    </row>
    <row r="24" spans="1:25" x14ac:dyDescent="0.25">
      <c r="A24" s="5" t="s">
        <v>32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 s="1" t="s">
        <v>33</v>
      </c>
      <c r="N25" s="1" t="s">
        <v>34</v>
      </c>
    </row>
    <row r="26" spans="1:25" x14ac:dyDescent="0.25">
      <c r="B26" t="s">
        <v>35</v>
      </c>
      <c r="C26" t="s">
        <v>4</v>
      </c>
      <c r="D26" t="s">
        <v>36</v>
      </c>
      <c r="E26" t="s">
        <v>37</v>
      </c>
      <c r="F26" t="s">
        <v>38</v>
      </c>
      <c r="G26" t="s">
        <v>26</v>
      </c>
      <c r="H26" t="s">
        <v>39</v>
      </c>
      <c r="O26" t="s">
        <v>35</v>
      </c>
      <c r="P26" t="s">
        <v>4</v>
      </c>
      <c r="Q26" t="s">
        <v>36</v>
      </c>
      <c r="R26" t="s">
        <v>37</v>
      </c>
      <c r="S26" t="s">
        <v>38</v>
      </c>
      <c r="T26" t="s">
        <v>26</v>
      </c>
      <c r="U26" t="s">
        <v>39</v>
      </c>
    </row>
    <row r="27" spans="1:25" x14ac:dyDescent="0.25">
      <c r="B27" t="s">
        <v>12</v>
      </c>
      <c r="C27">
        <v>107.604</v>
      </c>
      <c r="D27">
        <v>2.0223</v>
      </c>
      <c r="E27">
        <v>103.6403</v>
      </c>
      <c r="F27">
        <v>111.5676</v>
      </c>
      <c r="G27">
        <v>53.21</v>
      </c>
      <c r="H27" t="s">
        <v>29</v>
      </c>
      <c r="O27" t="s">
        <v>12</v>
      </c>
      <c r="P27">
        <v>108.8758</v>
      </c>
      <c r="Q27">
        <v>1.9999</v>
      </c>
      <c r="R27">
        <v>104.95610000000001</v>
      </c>
      <c r="S27">
        <v>112.7955</v>
      </c>
      <c r="T27">
        <v>54.44</v>
      </c>
      <c r="U27" t="s">
        <v>29</v>
      </c>
    </row>
    <row r="28" spans="1:25" x14ac:dyDescent="0.25">
      <c r="B28" t="s">
        <v>15</v>
      </c>
      <c r="C28">
        <v>-1.5951</v>
      </c>
      <c r="D28">
        <v>0.4798</v>
      </c>
      <c r="E28">
        <v>-2.5354999999999999</v>
      </c>
      <c r="F28">
        <v>-0.65469999999999995</v>
      </c>
      <c r="G28">
        <v>-3.32</v>
      </c>
      <c r="H28">
        <v>8.9999999999999998E-4</v>
      </c>
      <c r="O28" t="s">
        <v>15</v>
      </c>
      <c r="P28">
        <v>-1.8485</v>
      </c>
      <c r="Q28">
        <v>0.50290000000000001</v>
      </c>
      <c r="R28">
        <v>-2.8342000000000001</v>
      </c>
      <c r="S28">
        <v>-0.86270000000000002</v>
      </c>
      <c r="T28">
        <v>-3.68</v>
      </c>
      <c r="U28">
        <v>2.0000000000000001E-4</v>
      </c>
    </row>
    <row r="29" spans="1:25" x14ac:dyDescent="0.25">
      <c r="B29" t="s">
        <v>14</v>
      </c>
      <c r="C29">
        <v>7.0674999999999999</v>
      </c>
      <c r="D29">
        <v>0.45429999999999998</v>
      </c>
      <c r="E29">
        <v>6.1771000000000003</v>
      </c>
      <c r="F29">
        <v>7.9580000000000002</v>
      </c>
      <c r="G29">
        <v>15.56</v>
      </c>
      <c r="H29" t="s">
        <v>29</v>
      </c>
      <c r="O29" t="s">
        <v>14</v>
      </c>
      <c r="P29">
        <v>6.9005000000000001</v>
      </c>
      <c r="Q29">
        <v>0.49349999999999999</v>
      </c>
      <c r="R29">
        <v>5.9333999999999998</v>
      </c>
      <c r="S29">
        <v>7.8677000000000001</v>
      </c>
      <c r="T29">
        <v>13.98</v>
      </c>
      <c r="U29" t="s">
        <v>29</v>
      </c>
    </row>
    <row r="30" spans="1:25" x14ac:dyDescent="0.25">
      <c r="B30" t="s">
        <v>16</v>
      </c>
      <c r="C30">
        <v>-6.3735999999999997</v>
      </c>
      <c r="D30">
        <v>0.57589999999999997</v>
      </c>
      <c r="E30">
        <v>-7.5022000000000002</v>
      </c>
      <c r="F30">
        <v>-5.2449000000000003</v>
      </c>
      <c r="G30">
        <v>-11.07</v>
      </c>
      <c r="H30" t="s">
        <v>29</v>
      </c>
      <c r="O30" t="s">
        <v>16</v>
      </c>
      <c r="P30">
        <v>-6.1261999999999999</v>
      </c>
      <c r="Q30">
        <v>0.58660000000000001</v>
      </c>
      <c r="R30">
        <v>-7.2759999999999998</v>
      </c>
      <c r="S30">
        <v>-4.9763999999999999</v>
      </c>
      <c r="T30">
        <v>-10.44</v>
      </c>
      <c r="U30" t="s">
        <v>29</v>
      </c>
    </row>
    <row r="31" spans="1:25" x14ac:dyDescent="0.25">
      <c r="B31" t="s">
        <v>18</v>
      </c>
      <c r="C31">
        <v>5.1799999999999999E-2</v>
      </c>
      <c r="D31">
        <v>2.3199999999999998E-2</v>
      </c>
      <c r="E31">
        <v>6.3E-3</v>
      </c>
      <c r="F31">
        <v>9.74E-2</v>
      </c>
      <c r="G31">
        <v>2.23</v>
      </c>
      <c r="H31">
        <v>2.58E-2</v>
      </c>
      <c r="O31" t="s">
        <v>18</v>
      </c>
      <c r="P31">
        <v>4.7800000000000002E-2</v>
      </c>
      <c r="Q31">
        <v>1.9800000000000002E-2</v>
      </c>
      <c r="R31">
        <v>8.9999999999999993E-3</v>
      </c>
      <c r="S31">
        <v>8.6599999999999996E-2</v>
      </c>
      <c r="T31">
        <v>2.42</v>
      </c>
      <c r="U31">
        <v>1.5699999999999999E-2</v>
      </c>
    </row>
    <row r="32" spans="1:25" x14ac:dyDescent="0.25">
      <c r="B32" t="s">
        <v>13</v>
      </c>
      <c r="C32">
        <v>-5.6360000000000001</v>
      </c>
      <c r="D32">
        <v>0.73360000000000003</v>
      </c>
      <c r="E32">
        <v>-7.0738000000000003</v>
      </c>
      <c r="F32">
        <v>-4.1981999999999999</v>
      </c>
      <c r="G32">
        <v>-7.68</v>
      </c>
      <c r="H32" t="s">
        <v>29</v>
      </c>
      <c r="O32" t="s">
        <v>13</v>
      </c>
      <c r="P32">
        <v>-5.4756</v>
      </c>
      <c r="Q32">
        <v>0.78900000000000003</v>
      </c>
      <c r="R32">
        <v>-7.0218999999999996</v>
      </c>
      <c r="S32">
        <v>-3.9291999999999998</v>
      </c>
      <c r="T32">
        <v>-6.94</v>
      </c>
      <c r="U32" t="s">
        <v>29</v>
      </c>
    </row>
    <row r="33" spans="1:25" x14ac:dyDescent="0.25">
      <c r="B33" t="s">
        <v>17</v>
      </c>
      <c r="C33">
        <v>5.9951999999999996</v>
      </c>
      <c r="D33">
        <v>3.8199999999999998E-2</v>
      </c>
      <c r="E33">
        <v>5.9203000000000001</v>
      </c>
      <c r="F33">
        <v>6.07</v>
      </c>
      <c r="G33">
        <v>157.01</v>
      </c>
      <c r="H33" t="s">
        <v>29</v>
      </c>
      <c r="O33" t="s">
        <v>17</v>
      </c>
      <c r="P33">
        <v>5.9931000000000001</v>
      </c>
      <c r="Q33">
        <v>3.5000000000000003E-2</v>
      </c>
      <c r="R33">
        <v>5.9245999999999999</v>
      </c>
      <c r="S33">
        <v>6.0616000000000003</v>
      </c>
      <c r="T33">
        <v>171.45</v>
      </c>
      <c r="U33" t="s">
        <v>29</v>
      </c>
    </row>
    <row r="34" spans="1:25" x14ac:dyDescent="0.25">
      <c r="A34" s="2"/>
    </row>
    <row r="35" spans="1:25" x14ac:dyDescent="0.25">
      <c r="A35" s="1" t="s">
        <v>40</v>
      </c>
      <c r="N35" s="1" t="s">
        <v>41</v>
      </c>
    </row>
    <row r="36" spans="1:25" x14ac:dyDescent="0.25">
      <c r="B36" t="s">
        <v>35</v>
      </c>
      <c r="C36" t="s">
        <v>4</v>
      </c>
      <c r="D36" t="s">
        <v>36</v>
      </c>
      <c r="E36" t="s">
        <v>37</v>
      </c>
      <c r="F36" t="s">
        <v>38</v>
      </c>
      <c r="G36" t="s">
        <v>26</v>
      </c>
      <c r="H36" t="s">
        <v>39</v>
      </c>
      <c r="O36" t="s">
        <v>35</v>
      </c>
      <c r="P36" t="s">
        <v>4</v>
      </c>
      <c r="Q36" t="s">
        <v>36</v>
      </c>
      <c r="R36" t="s">
        <v>37</v>
      </c>
      <c r="S36" t="s">
        <v>38</v>
      </c>
      <c r="T36" t="s">
        <v>26</v>
      </c>
      <c r="U36" t="s">
        <v>39</v>
      </c>
    </row>
    <row r="37" spans="1:25" x14ac:dyDescent="0.25">
      <c r="B37" t="s">
        <v>12</v>
      </c>
      <c r="C37">
        <v>107.604</v>
      </c>
      <c r="D37">
        <v>2.0223</v>
      </c>
      <c r="E37">
        <v>103.6403</v>
      </c>
      <c r="F37">
        <v>111.5676</v>
      </c>
      <c r="G37">
        <v>53.21</v>
      </c>
      <c r="H37" t="s">
        <v>29</v>
      </c>
      <c r="O37" t="s">
        <v>12</v>
      </c>
      <c r="P37">
        <v>108.8758</v>
      </c>
      <c r="Q37">
        <v>1.9999</v>
      </c>
      <c r="R37">
        <v>104.95610000000001</v>
      </c>
      <c r="S37">
        <v>112.7955</v>
      </c>
      <c r="T37">
        <v>54.44</v>
      </c>
      <c r="U37" t="s">
        <v>29</v>
      </c>
    </row>
    <row r="38" spans="1:25" x14ac:dyDescent="0.25">
      <c r="B38" t="s">
        <v>15</v>
      </c>
      <c r="C38">
        <v>-1.5951</v>
      </c>
      <c r="D38">
        <v>0.4798</v>
      </c>
      <c r="E38">
        <v>-2.5354999999999999</v>
      </c>
      <c r="F38">
        <v>-0.65469999999999995</v>
      </c>
      <c r="G38">
        <v>-3.32</v>
      </c>
      <c r="H38">
        <v>8.9999999999999998E-4</v>
      </c>
      <c r="O38" t="s">
        <v>15</v>
      </c>
      <c r="P38">
        <v>-1.8485</v>
      </c>
      <c r="Q38">
        <v>0.50290000000000001</v>
      </c>
      <c r="R38">
        <v>-2.8342000000000001</v>
      </c>
      <c r="S38">
        <v>-0.86270000000000002</v>
      </c>
      <c r="T38">
        <v>-3.68</v>
      </c>
      <c r="U38">
        <v>2.0000000000000001E-4</v>
      </c>
    </row>
    <row r="39" spans="1:25" x14ac:dyDescent="0.25">
      <c r="B39" t="s">
        <v>14</v>
      </c>
      <c r="C39">
        <v>7.0674999999999999</v>
      </c>
      <c r="D39">
        <v>0.45429999999999998</v>
      </c>
      <c r="E39">
        <v>6.1771000000000003</v>
      </c>
      <c r="F39">
        <v>7.9580000000000002</v>
      </c>
      <c r="G39">
        <v>15.56</v>
      </c>
      <c r="H39" t="s">
        <v>29</v>
      </c>
      <c r="O39" t="s">
        <v>14</v>
      </c>
      <c r="P39">
        <v>6.9005000000000001</v>
      </c>
      <c r="Q39">
        <v>0.49349999999999999</v>
      </c>
      <c r="R39">
        <v>5.9333999999999998</v>
      </c>
      <c r="S39">
        <v>7.8677000000000001</v>
      </c>
      <c r="T39">
        <v>13.98</v>
      </c>
      <c r="U39" t="s">
        <v>29</v>
      </c>
    </row>
    <row r="40" spans="1:25" x14ac:dyDescent="0.25">
      <c r="B40" t="s">
        <v>16</v>
      </c>
      <c r="C40">
        <v>-6.3735999999999997</v>
      </c>
      <c r="D40">
        <v>0.57589999999999997</v>
      </c>
      <c r="E40">
        <v>-7.5022000000000002</v>
      </c>
      <c r="F40">
        <v>-5.2449000000000003</v>
      </c>
      <c r="G40">
        <v>-11.07</v>
      </c>
      <c r="H40" t="s">
        <v>29</v>
      </c>
      <c r="O40" t="s">
        <v>16</v>
      </c>
      <c r="P40">
        <v>-6.1261999999999999</v>
      </c>
      <c r="Q40">
        <v>0.58660000000000001</v>
      </c>
      <c r="R40">
        <v>-7.2759999999999998</v>
      </c>
      <c r="S40">
        <v>-4.9763999999999999</v>
      </c>
      <c r="T40">
        <v>-10.44</v>
      </c>
      <c r="U40" t="s">
        <v>29</v>
      </c>
    </row>
    <row r="41" spans="1:25" x14ac:dyDescent="0.25">
      <c r="B41" t="s">
        <v>18</v>
      </c>
      <c r="C41">
        <v>5.1799999999999999E-2</v>
      </c>
      <c r="D41">
        <v>2.3199999999999998E-2</v>
      </c>
      <c r="E41">
        <v>6.3E-3</v>
      </c>
      <c r="F41">
        <v>9.74E-2</v>
      </c>
      <c r="G41">
        <v>2.23</v>
      </c>
      <c r="H41">
        <v>2.58E-2</v>
      </c>
      <c r="O41" t="s">
        <v>18</v>
      </c>
      <c r="P41">
        <v>4.7800000000000002E-2</v>
      </c>
      <c r="Q41">
        <v>1.9800000000000002E-2</v>
      </c>
      <c r="R41">
        <v>8.9999999999999993E-3</v>
      </c>
      <c r="S41">
        <v>8.6599999999999996E-2</v>
      </c>
      <c r="T41">
        <v>2.42</v>
      </c>
      <c r="U41">
        <v>1.5699999999999999E-2</v>
      </c>
    </row>
    <row r="42" spans="1:25" x14ac:dyDescent="0.25">
      <c r="B42" t="s">
        <v>13</v>
      </c>
      <c r="C42">
        <v>-5.6360000000000001</v>
      </c>
      <c r="D42">
        <v>0.73360000000000003</v>
      </c>
      <c r="E42">
        <v>-7.0738000000000003</v>
      </c>
      <c r="F42">
        <v>-4.1981999999999999</v>
      </c>
      <c r="G42">
        <v>-7.68</v>
      </c>
      <c r="H42" t="s">
        <v>29</v>
      </c>
      <c r="O42" t="s">
        <v>13</v>
      </c>
      <c r="P42">
        <v>-5.4756</v>
      </c>
      <c r="Q42">
        <v>0.78900000000000003</v>
      </c>
      <c r="R42">
        <v>-7.0218999999999996</v>
      </c>
      <c r="S42">
        <v>-3.9291999999999998</v>
      </c>
      <c r="T42">
        <v>-6.94</v>
      </c>
      <c r="U42" t="s">
        <v>29</v>
      </c>
    </row>
    <row r="43" spans="1:25" x14ac:dyDescent="0.25">
      <c r="B43" t="s">
        <v>17</v>
      </c>
      <c r="C43">
        <v>5.9951999999999996</v>
      </c>
      <c r="D43">
        <v>3.8199999999999998E-2</v>
      </c>
      <c r="E43">
        <v>5.9203000000000001</v>
      </c>
      <c r="F43">
        <v>6.07</v>
      </c>
      <c r="G43">
        <v>157.01</v>
      </c>
      <c r="H43" t="s">
        <v>29</v>
      </c>
      <c r="O43" t="s">
        <v>17</v>
      </c>
      <c r="P43">
        <v>5.9931000000000001</v>
      </c>
      <c r="Q43">
        <v>3.5000000000000003E-2</v>
      </c>
      <c r="R43">
        <v>5.9245999999999999</v>
      </c>
      <c r="S43">
        <v>6.0616000000000003</v>
      </c>
      <c r="T43">
        <v>171.45</v>
      </c>
      <c r="U43" t="s">
        <v>29</v>
      </c>
    </row>
    <row r="45" spans="1:25" x14ac:dyDescent="0.25">
      <c r="A45" s="1" t="s">
        <v>42</v>
      </c>
      <c r="N45" s="1" t="s">
        <v>43</v>
      </c>
    </row>
    <row r="46" spans="1:25" x14ac:dyDescent="0.25">
      <c r="A46" t="s">
        <v>44</v>
      </c>
      <c r="B46" t="s">
        <v>35</v>
      </c>
      <c r="C46" t="s">
        <v>4</v>
      </c>
      <c r="D46" t="s">
        <v>36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K46" t="s">
        <v>51</v>
      </c>
      <c r="L46" t="s">
        <v>52</v>
      </c>
      <c r="N46" t="s">
        <v>44</v>
      </c>
      <c r="O46" t="s">
        <v>35</v>
      </c>
      <c r="P46" t="s">
        <v>4</v>
      </c>
      <c r="Q46" t="s">
        <v>36</v>
      </c>
      <c r="R46" t="s">
        <v>45</v>
      </c>
      <c r="S46" t="s">
        <v>46</v>
      </c>
      <c r="T46" t="s">
        <v>47</v>
      </c>
      <c r="U46" t="s">
        <v>48</v>
      </c>
      <c r="V46" t="s">
        <v>49</v>
      </c>
      <c r="W46" t="s">
        <v>50</v>
      </c>
      <c r="X46" t="s">
        <v>51</v>
      </c>
      <c r="Y46" t="s">
        <v>52</v>
      </c>
    </row>
    <row r="47" spans="1:25" x14ac:dyDescent="0.25">
      <c r="A47">
        <v>5</v>
      </c>
      <c r="B47" t="s">
        <v>53</v>
      </c>
      <c r="C47">
        <v>105.67968</v>
      </c>
      <c r="D47">
        <v>1.8608739999999999</v>
      </c>
      <c r="E47">
        <v>102.03230000000001</v>
      </c>
      <c r="F47">
        <v>109.3271</v>
      </c>
      <c r="G47">
        <v>31412</v>
      </c>
      <c r="H47">
        <v>105.500702</v>
      </c>
      <c r="I47">
        <v>105.966781</v>
      </c>
      <c r="J47">
        <v>0</v>
      </c>
      <c r="K47">
        <v>56.79</v>
      </c>
      <c r="L47" t="s">
        <v>29</v>
      </c>
      <c r="N47">
        <v>5</v>
      </c>
      <c r="O47" t="s">
        <v>53</v>
      </c>
      <c r="P47">
        <v>106.18758099999999</v>
      </c>
      <c r="Q47">
        <v>1.991614</v>
      </c>
      <c r="R47">
        <v>102.2826</v>
      </c>
      <c r="S47">
        <v>110.0926</v>
      </c>
      <c r="T47">
        <v>3149.2</v>
      </c>
      <c r="U47">
        <v>105.8171</v>
      </c>
      <c r="V47">
        <v>106.596453</v>
      </c>
      <c r="W47">
        <v>0</v>
      </c>
      <c r="X47">
        <v>53.32</v>
      </c>
      <c r="Y47" t="s">
        <v>29</v>
      </c>
    </row>
    <row r="48" spans="1:25" x14ac:dyDescent="0.25">
      <c r="A48">
        <v>5</v>
      </c>
      <c r="B48" t="s">
        <v>15</v>
      </c>
      <c r="C48">
        <v>-1.290124</v>
      </c>
      <c r="D48">
        <v>0.46815800000000002</v>
      </c>
      <c r="E48">
        <v>-2.2082000000000002</v>
      </c>
      <c r="F48">
        <v>-0.372</v>
      </c>
      <c r="G48">
        <v>2036.9</v>
      </c>
      <c r="H48">
        <v>-1.386153</v>
      </c>
      <c r="I48">
        <v>-1.14127</v>
      </c>
      <c r="J48">
        <v>0</v>
      </c>
      <c r="K48">
        <v>-2.76</v>
      </c>
      <c r="L48">
        <v>5.8999999999999999E-3</v>
      </c>
      <c r="N48">
        <v>5</v>
      </c>
      <c r="O48" t="s">
        <v>15</v>
      </c>
      <c r="P48">
        <v>-1.4042330000000001</v>
      </c>
      <c r="Q48">
        <v>0.51148899999999997</v>
      </c>
      <c r="R48">
        <v>-2.4072</v>
      </c>
      <c r="S48">
        <v>-0.4012</v>
      </c>
      <c r="T48">
        <v>2487.4</v>
      </c>
      <c r="U48">
        <v>-1.4872529999999999</v>
      </c>
      <c r="V48">
        <v>-1.2443649999999999</v>
      </c>
      <c r="W48">
        <v>0</v>
      </c>
      <c r="X48">
        <v>-2.75</v>
      </c>
      <c r="Y48">
        <v>6.1000000000000004E-3</v>
      </c>
    </row>
    <row r="49" spans="1:25" x14ac:dyDescent="0.25">
      <c r="A49">
        <v>5</v>
      </c>
      <c r="B49" t="s">
        <v>14</v>
      </c>
      <c r="C49">
        <v>8.4734289999999994</v>
      </c>
      <c r="D49">
        <v>0.43988899999999997</v>
      </c>
      <c r="E49">
        <v>7.6111000000000004</v>
      </c>
      <c r="F49">
        <v>9.3358000000000008</v>
      </c>
      <c r="G49">
        <v>6485.6</v>
      </c>
      <c r="H49">
        <v>8.4062210000000004</v>
      </c>
      <c r="I49">
        <v>8.5375119999999995</v>
      </c>
      <c r="J49">
        <v>0</v>
      </c>
      <c r="K49">
        <v>19.260000000000002</v>
      </c>
      <c r="L49" t="s">
        <v>29</v>
      </c>
      <c r="N49">
        <v>5</v>
      </c>
      <c r="O49" t="s">
        <v>14</v>
      </c>
      <c r="P49">
        <v>8.9384340000000009</v>
      </c>
      <c r="Q49">
        <v>0.48794199999999999</v>
      </c>
      <c r="R49">
        <v>7.9819000000000004</v>
      </c>
      <c r="S49">
        <v>9.8949999999999996</v>
      </c>
      <c r="T49">
        <v>5605.3</v>
      </c>
      <c r="U49">
        <v>8.8399439999999991</v>
      </c>
      <c r="V49">
        <v>9.031371</v>
      </c>
      <c r="W49">
        <v>0</v>
      </c>
      <c r="X49">
        <v>18.32</v>
      </c>
      <c r="Y49" t="s">
        <v>29</v>
      </c>
    </row>
    <row r="50" spans="1:25" x14ac:dyDescent="0.25">
      <c r="A50">
        <v>5</v>
      </c>
      <c r="B50" t="s">
        <v>16</v>
      </c>
      <c r="C50">
        <v>-7.8020949999999996</v>
      </c>
      <c r="D50">
        <v>0.53312999999999999</v>
      </c>
      <c r="E50">
        <v>-8.8474000000000004</v>
      </c>
      <c r="F50">
        <v>-6.7568000000000001</v>
      </c>
      <c r="G50">
        <v>3178</v>
      </c>
      <c r="H50">
        <v>-7.8875010000000003</v>
      </c>
      <c r="I50">
        <v>-7.6463830000000002</v>
      </c>
      <c r="J50">
        <v>0</v>
      </c>
      <c r="K50">
        <v>-14.63</v>
      </c>
      <c r="L50" t="s">
        <v>29</v>
      </c>
      <c r="N50">
        <v>5</v>
      </c>
      <c r="O50" t="s">
        <v>16</v>
      </c>
      <c r="P50">
        <v>-7.8933689999999999</v>
      </c>
      <c r="Q50">
        <v>0.56329499999999999</v>
      </c>
      <c r="R50">
        <v>-8.9975000000000005</v>
      </c>
      <c r="S50">
        <v>-6.7892000000000001</v>
      </c>
      <c r="T50">
        <v>11611</v>
      </c>
      <c r="U50">
        <v>-7.9683630000000001</v>
      </c>
      <c r="V50">
        <v>-7.782565</v>
      </c>
      <c r="W50">
        <v>0</v>
      </c>
      <c r="X50">
        <v>-14.01</v>
      </c>
      <c r="Y50" t="s">
        <v>29</v>
      </c>
    </row>
    <row r="51" spans="1:25" x14ac:dyDescent="0.25">
      <c r="A51">
        <v>5</v>
      </c>
      <c r="B51" t="s">
        <v>18</v>
      </c>
      <c r="C51">
        <v>5.7272000000000003E-2</v>
      </c>
      <c r="D51">
        <v>2.3934E-2</v>
      </c>
      <c r="E51">
        <v>8.9999999999999993E-3</v>
      </c>
      <c r="F51">
        <v>0.1055</v>
      </c>
      <c r="G51">
        <v>43.917999999999999</v>
      </c>
      <c r="H51">
        <v>4.3298000000000003E-2</v>
      </c>
      <c r="I51">
        <v>7.3750999999999997E-2</v>
      </c>
      <c r="J51">
        <v>0</v>
      </c>
      <c r="K51">
        <v>2.39</v>
      </c>
      <c r="L51">
        <v>2.1100000000000001E-2</v>
      </c>
      <c r="N51">
        <v>5</v>
      </c>
      <c r="O51" t="s">
        <v>18</v>
      </c>
      <c r="P51">
        <v>5.4529000000000001E-2</v>
      </c>
      <c r="Q51">
        <v>2.1774000000000002E-2</v>
      </c>
      <c r="R51">
        <v>9.7000000000000003E-3</v>
      </c>
      <c r="S51">
        <v>9.9299999999999999E-2</v>
      </c>
      <c r="T51">
        <v>25.722999999999999</v>
      </c>
      <c r="U51">
        <v>4.0766999999999998E-2</v>
      </c>
      <c r="V51">
        <v>7.4754000000000001E-2</v>
      </c>
      <c r="W51">
        <v>0</v>
      </c>
      <c r="X51">
        <v>2.5</v>
      </c>
      <c r="Y51">
        <v>1.89E-2</v>
      </c>
    </row>
    <row r="52" spans="1:25" x14ac:dyDescent="0.25">
      <c r="A52">
        <v>5</v>
      </c>
      <c r="B52" t="s">
        <v>13</v>
      </c>
      <c r="C52">
        <v>-5.1861040000000003</v>
      </c>
      <c r="D52">
        <v>0.72719800000000001</v>
      </c>
      <c r="E52">
        <v>-6.6115000000000004</v>
      </c>
      <c r="F52">
        <v>-3.7606999999999999</v>
      </c>
      <c r="G52">
        <v>14932</v>
      </c>
      <c r="H52">
        <v>-5.2803490000000002</v>
      </c>
      <c r="I52">
        <v>-5.1053550000000003</v>
      </c>
      <c r="J52">
        <v>0</v>
      </c>
      <c r="K52">
        <v>-7.13</v>
      </c>
      <c r="L52" t="s">
        <v>29</v>
      </c>
      <c r="N52">
        <v>5</v>
      </c>
      <c r="O52" t="s">
        <v>13</v>
      </c>
      <c r="P52">
        <v>-5.473973</v>
      </c>
      <c r="Q52">
        <v>0.83521400000000001</v>
      </c>
      <c r="R52">
        <v>-7.1111000000000004</v>
      </c>
      <c r="S52">
        <v>-3.8368000000000002</v>
      </c>
      <c r="T52">
        <v>13739</v>
      </c>
      <c r="U52">
        <v>-5.6334489999999997</v>
      </c>
      <c r="V52">
        <v>-5.3930910000000001</v>
      </c>
      <c r="W52">
        <v>0</v>
      </c>
      <c r="X52">
        <v>-6.55</v>
      </c>
      <c r="Y52" t="s">
        <v>29</v>
      </c>
    </row>
    <row r="53" spans="1:25" x14ac:dyDescent="0.25">
      <c r="A53">
        <v>5</v>
      </c>
      <c r="B53" t="s">
        <v>17</v>
      </c>
      <c r="C53">
        <v>5.8548450000000001</v>
      </c>
      <c r="D53">
        <v>3.1362000000000001E-2</v>
      </c>
      <c r="E53">
        <v>5.7931999999999997</v>
      </c>
      <c r="F53">
        <v>5.9165000000000001</v>
      </c>
      <c r="G53">
        <v>391.88</v>
      </c>
      <c r="H53">
        <v>5.842975</v>
      </c>
      <c r="I53">
        <v>5.8645769999999997</v>
      </c>
      <c r="J53">
        <v>0</v>
      </c>
      <c r="K53">
        <v>186.69</v>
      </c>
      <c r="L53" t="s">
        <v>29</v>
      </c>
      <c r="N53">
        <v>5</v>
      </c>
      <c r="O53" t="s">
        <v>17</v>
      </c>
      <c r="P53">
        <v>5.8602090000000002</v>
      </c>
      <c r="Q53">
        <v>3.0072000000000002E-2</v>
      </c>
      <c r="R53">
        <v>5.8009000000000004</v>
      </c>
      <c r="S53">
        <v>5.9195000000000002</v>
      </c>
      <c r="T53">
        <v>207.55</v>
      </c>
      <c r="U53">
        <v>5.8452029999999997</v>
      </c>
      <c r="V53">
        <v>5.8738070000000002</v>
      </c>
      <c r="W53">
        <v>0</v>
      </c>
      <c r="X53">
        <v>194.87</v>
      </c>
      <c r="Y53" t="s">
        <v>29</v>
      </c>
    </row>
    <row r="55" spans="1:25" x14ac:dyDescent="0.25">
      <c r="A55" s="1" t="s">
        <v>54</v>
      </c>
      <c r="N55" s="1" t="s">
        <v>55</v>
      </c>
    </row>
    <row r="56" spans="1:25" x14ac:dyDescent="0.25">
      <c r="A56" t="s">
        <v>44</v>
      </c>
      <c r="B56" t="s">
        <v>35</v>
      </c>
      <c r="C56" t="s">
        <v>4</v>
      </c>
      <c r="D56" t="s">
        <v>36</v>
      </c>
      <c r="E56" t="s">
        <v>45</v>
      </c>
      <c r="F56" t="s">
        <v>46</v>
      </c>
      <c r="G56" t="s">
        <v>47</v>
      </c>
      <c r="H56" t="s">
        <v>48</v>
      </c>
      <c r="I56" t="s">
        <v>49</v>
      </c>
      <c r="J56" t="s">
        <v>50</v>
      </c>
      <c r="K56" t="s">
        <v>51</v>
      </c>
      <c r="L56" t="s">
        <v>52</v>
      </c>
      <c r="N56" t="s">
        <v>44</v>
      </c>
      <c r="O56" t="s">
        <v>35</v>
      </c>
      <c r="P56" t="s">
        <v>4</v>
      </c>
      <c r="Q56" t="s">
        <v>36</v>
      </c>
      <c r="R56" t="s">
        <v>45</v>
      </c>
      <c r="S56" t="s">
        <v>46</v>
      </c>
      <c r="T56" t="s">
        <v>47</v>
      </c>
      <c r="U56" t="s">
        <v>48</v>
      </c>
      <c r="V56" t="s">
        <v>49</v>
      </c>
      <c r="W56" t="s">
        <v>50</v>
      </c>
      <c r="X56" t="s">
        <v>51</v>
      </c>
      <c r="Y56" t="s">
        <v>52</v>
      </c>
    </row>
    <row r="57" spans="1:25" x14ac:dyDescent="0.25">
      <c r="A57">
        <v>5</v>
      </c>
      <c r="B57" t="s">
        <v>53</v>
      </c>
      <c r="C57">
        <v>105.67968</v>
      </c>
      <c r="D57">
        <v>1.8608739999999999</v>
      </c>
      <c r="E57">
        <v>102.03230000000001</v>
      </c>
      <c r="F57">
        <v>109.3271</v>
      </c>
      <c r="G57">
        <v>31412</v>
      </c>
      <c r="H57">
        <v>105.500702</v>
      </c>
      <c r="I57">
        <v>105.966781</v>
      </c>
      <c r="J57">
        <v>0</v>
      </c>
      <c r="K57">
        <v>56.79</v>
      </c>
      <c r="L57" t="s">
        <v>29</v>
      </c>
      <c r="N57">
        <v>5</v>
      </c>
      <c r="O57" t="s">
        <v>53</v>
      </c>
      <c r="P57">
        <v>106.18758099999999</v>
      </c>
      <c r="Q57">
        <v>1.991614</v>
      </c>
      <c r="R57">
        <v>102.2826</v>
      </c>
      <c r="S57">
        <v>110.0926</v>
      </c>
      <c r="T57">
        <v>3149.2</v>
      </c>
      <c r="U57">
        <v>105.8171</v>
      </c>
      <c r="V57">
        <v>106.596453</v>
      </c>
      <c r="W57">
        <v>0</v>
      </c>
      <c r="X57">
        <v>53.32</v>
      </c>
      <c r="Y57" t="s">
        <v>29</v>
      </c>
    </row>
    <row r="58" spans="1:25" x14ac:dyDescent="0.25">
      <c r="A58">
        <v>5</v>
      </c>
      <c r="B58" t="s">
        <v>15</v>
      </c>
      <c r="C58">
        <v>-1.290124</v>
      </c>
      <c r="D58">
        <v>0.46815800000000002</v>
      </c>
      <c r="E58">
        <v>-2.2082000000000002</v>
      </c>
      <c r="F58">
        <v>-0.372</v>
      </c>
      <c r="G58">
        <v>2036.9</v>
      </c>
      <c r="H58">
        <v>-1.386153</v>
      </c>
      <c r="I58">
        <v>-1.14127</v>
      </c>
      <c r="J58">
        <v>0</v>
      </c>
      <c r="K58">
        <v>-2.76</v>
      </c>
      <c r="L58">
        <v>5.8999999999999999E-3</v>
      </c>
      <c r="N58">
        <v>5</v>
      </c>
      <c r="O58" t="s">
        <v>15</v>
      </c>
      <c r="P58">
        <v>-1.4042330000000001</v>
      </c>
      <c r="Q58">
        <v>0.51148899999999997</v>
      </c>
      <c r="R58">
        <v>-2.4072</v>
      </c>
      <c r="S58">
        <v>-0.4012</v>
      </c>
      <c r="T58">
        <v>2487.4</v>
      </c>
      <c r="U58">
        <v>-1.4872529999999999</v>
      </c>
      <c r="V58">
        <v>-1.2443649999999999</v>
      </c>
      <c r="W58">
        <v>0</v>
      </c>
      <c r="X58">
        <v>-2.75</v>
      </c>
      <c r="Y58">
        <v>6.1000000000000004E-3</v>
      </c>
    </row>
    <row r="59" spans="1:25" x14ac:dyDescent="0.25">
      <c r="A59">
        <v>5</v>
      </c>
      <c r="B59" t="s">
        <v>14</v>
      </c>
      <c r="C59">
        <v>8.4734289999999994</v>
      </c>
      <c r="D59">
        <v>0.43988899999999997</v>
      </c>
      <c r="E59">
        <v>7.6111000000000004</v>
      </c>
      <c r="F59">
        <v>9.3358000000000008</v>
      </c>
      <c r="G59">
        <v>6485.6</v>
      </c>
      <c r="H59">
        <v>8.4062210000000004</v>
      </c>
      <c r="I59">
        <v>8.5375119999999995</v>
      </c>
      <c r="J59">
        <v>0</v>
      </c>
      <c r="K59">
        <v>19.260000000000002</v>
      </c>
      <c r="L59" t="s">
        <v>29</v>
      </c>
      <c r="N59">
        <v>5</v>
      </c>
      <c r="O59" t="s">
        <v>14</v>
      </c>
      <c r="P59">
        <v>8.9384340000000009</v>
      </c>
      <c r="Q59">
        <v>0.48794199999999999</v>
      </c>
      <c r="R59">
        <v>7.9819000000000004</v>
      </c>
      <c r="S59">
        <v>9.8949999999999996</v>
      </c>
      <c r="T59">
        <v>5605.3</v>
      </c>
      <c r="U59">
        <v>8.8399439999999991</v>
      </c>
      <c r="V59">
        <v>9.031371</v>
      </c>
      <c r="W59">
        <v>0</v>
      </c>
      <c r="X59">
        <v>18.32</v>
      </c>
      <c r="Y59" t="s">
        <v>29</v>
      </c>
    </row>
    <row r="60" spans="1:25" x14ac:dyDescent="0.25">
      <c r="A60">
        <v>5</v>
      </c>
      <c r="B60" t="s">
        <v>16</v>
      </c>
      <c r="C60">
        <v>-7.8020949999999996</v>
      </c>
      <c r="D60">
        <v>0.53312999999999999</v>
      </c>
      <c r="E60">
        <v>-8.8474000000000004</v>
      </c>
      <c r="F60">
        <v>-6.7568000000000001</v>
      </c>
      <c r="G60">
        <v>3178</v>
      </c>
      <c r="H60">
        <v>-7.8875010000000003</v>
      </c>
      <c r="I60">
        <v>-7.6463830000000002</v>
      </c>
      <c r="J60">
        <v>0</v>
      </c>
      <c r="K60">
        <v>-14.63</v>
      </c>
      <c r="L60" t="s">
        <v>29</v>
      </c>
      <c r="N60">
        <v>5</v>
      </c>
      <c r="O60" t="s">
        <v>16</v>
      </c>
      <c r="P60">
        <v>-7.8933689999999999</v>
      </c>
      <c r="Q60">
        <v>0.56329499999999999</v>
      </c>
      <c r="R60">
        <v>-8.9975000000000005</v>
      </c>
      <c r="S60">
        <v>-6.7892000000000001</v>
      </c>
      <c r="T60">
        <v>11611</v>
      </c>
      <c r="U60">
        <v>-7.9683630000000001</v>
      </c>
      <c r="V60">
        <v>-7.782565</v>
      </c>
      <c r="W60">
        <v>0</v>
      </c>
      <c r="X60">
        <v>-14.01</v>
      </c>
      <c r="Y60" t="s">
        <v>29</v>
      </c>
    </row>
    <row r="61" spans="1:25" x14ac:dyDescent="0.25">
      <c r="A61">
        <v>5</v>
      </c>
      <c r="B61" t="s">
        <v>18</v>
      </c>
      <c r="C61">
        <v>5.7272000000000003E-2</v>
      </c>
      <c r="D61">
        <v>2.3934E-2</v>
      </c>
      <c r="E61">
        <v>8.9999999999999993E-3</v>
      </c>
      <c r="F61">
        <v>0.1055</v>
      </c>
      <c r="G61">
        <v>43.917999999999999</v>
      </c>
      <c r="H61">
        <v>4.3298000000000003E-2</v>
      </c>
      <c r="I61">
        <v>7.3750999999999997E-2</v>
      </c>
      <c r="J61">
        <v>0</v>
      </c>
      <c r="K61">
        <v>2.39</v>
      </c>
      <c r="L61">
        <v>2.1100000000000001E-2</v>
      </c>
      <c r="N61">
        <v>5</v>
      </c>
      <c r="O61" t="s">
        <v>18</v>
      </c>
      <c r="P61">
        <v>5.4529000000000001E-2</v>
      </c>
      <c r="Q61">
        <v>2.1774000000000002E-2</v>
      </c>
      <c r="R61">
        <v>9.7000000000000003E-3</v>
      </c>
      <c r="S61">
        <v>9.9299999999999999E-2</v>
      </c>
      <c r="T61">
        <v>25.722999999999999</v>
      </c>
      <c r="U61">
        <v>4.0766999999999998E-2</v>
      </c>
      <c r="V61">
        <v>7.4754000000000001E-2</v>
      </c>
      <c r="W61">
        <v>0</v>
      </c>
      <c r="X61">
        <v>2.5</v>
      </c>
      <c r="Y61">
        <v>1.89E-2</v>
      </c>
    </row>
    <row r="62" spans="1:25" x14ac:dyDescent="0.25">
      <c r="A62">
        <v>5</v>
      </c>
      <c r="B62" t="s">
        <v>13</v>
      </c>
      <c r="C62">
        <v>-5.1861040000000003</v>
      </c>
      <c r="D62">
        <v>0.72719800000000001</v>
      </c>
      <c r="E62">
        <v>-6.6115000000000004</v>
      </c>
      <c r="F62">
        <v>-3.7606999999999999</v>
      </c>
      <c r="G62">
        <v>14932</v>
      </c>
      <c r="H62">
        <v>-5.2803490000000002</v>
      </c>
      <c r="I62">
        <v>-5.1053550000000003</v>
      </c>
      <c r="J62">
        <v>0</v>
      </c>
      <c r="K62">
        <v>-7.13</v>
      </c>
      <c r="L62" t="s">
        <v>29</v>
      </c>
      <c r="N62">
        <v>5</v>
      </c>
      <c r="O62" t="s">
        <v>13</v>
      </c>
      <c r="P62">
        <v>-5.473973</v>
      </c>
      <c r="Q62">
        <v>0.83521400000000001</v>
      </c>
      <c r="R62">
        <v>-7.1111000000000004</v>
      </c>
      <c r="S62">
        <v>-3.8368000000000002</v>
      </c>
      <c r="T62">
        <v>13739</v>
      </c>
      <c r="U62">
        <v>-5.6334489999999997</v>
      </c>
      <c r="V62">
        <v>-5.3930910000000001</v>
      </c>
      <c r="W62">
        <v>0</v>
      </c>
      <c r="X62">
        <v>-6.55</v>
      </c>
      <c r="Y62" t="s">
        <v>29</v>
      </c>
    </row>
    <row r="63" spans="1:25" x14ac:dyDescent="0.25">
      <c r="A63">
        <v>5</v>
      </c>
      <c r="B63" t="s">
        <v>17</v>
      </c>
      <c r="C63">
        <v>5.8548450000000001</v>
      </c>
      <c r="D63">
        <v>3.1362000000000001E-2</v>
      </c>
      <c r="E63">
        <v>5.7931999999999997</v>
      </c>
      <c r="F63">
        <v>5.9165000000000001</v>
      </c>
      <c r="G63">
        <v>391.88</v>
      </c>
      <c r="H63">
        <v>5.842975</v>
      </c>
      <c r="I63">
        <v>5.8645769999999997</v>
      </c>
      <c r="J63">
        <v>0</v>
      </c>
      <c r="K63">
        <v>186.69</v>
      </c>
      <c r="L63" t="s">
        <v>29</v>
      </c>
      <c r="N63">
        <v>5</v>
      </c>
      <c r="O63" t="s">
        <v>17</v>
      </c>
      <c r="P63">
        <v>5.8602090000000002</v>
      </c>
      <c r="Q63">
        <v>3.0072000000000002E-2</v>
      </c>
      <c r="R63">
        <v>5.8009000000000004</v>
      </c>
      <c r="S63">
        <v>5.9195000000000002</v>
      </c>
      <c r="T63">
        <v>207.55</v>
      </c>
      <c r="U63">
        <v>5.8452029999999997</v>
      </c>
      <c r="V63">
        <v>5.8738070000000002</v>
      </c>
      <c r="W63">
        <v>0</v>
      </c>
      <c r="X63">
        <v>194.87</v>
      </c>
      <c r="Y63" t="s">
        <v>29</v>
      </c>
    </row>
    <row r="65" spans="1:25" x14ac:dyDescent="0.25">
      <c r="O65" s="1" t="s">
        <v>56</v>
      </c>
    </row>
    <row r="66" spans="1:25" x14ac:dyDescent="0.25">
      <c r="O66" t="s">
        <v>35</v>
      </c>
      <c r="P66" t="s">
        <v>4</v>
      </c>
      <c r="Q66" t="s">
        <v>36</v>
      </c>
      <c r="R66" t="s">
        <v>51</v>
      </c>
      <c r="S66" t="s">
        <v>52</v>
      </c>
    </row>
    <row r="67" spans="1:25" x14ac:dyDescent="0.25">
      <c r="O67" t="s">
        <v>53</v>
      </c>
      <c r="P67">
        <v>105.63</v>
      </c>
      <c r="Q67">
        <v>1.73</v>
      </c>
      <c r="R67">
        <v>60.95</v>
      </c>
      <c r="S67" s="3">
        <v>0</v>
      </c>
    </row>
    <row r="68" spans="1:25" x14ac:dyDescent="0.25">
      <c r="O68" t="s">
        <v>15</v>
      </c>
      <c r="P68">
        <v>-1.42</v>
      </c>
      <c r="Q68">
        <v>0.44</v>
      </c>
      <c r="R68">
        <v>-3.22</v>
      </c>
      <c r="S68" s="3">
        <v>1.2999999999999999E-3</v>
      </c>
    </row>
    <row r="69" spans="1:25" x14ac:dyDescent="0.25">
      <c r="O69" t="s">
        <v>14</v>
      </c>
      <c r="P69">
        <v>8.4700000000000006</v>
      </c>
      <c r="Q69">
        <v>0.43</v>
      </c>
      <c r="R69">
        <v>19.61</v>
      </c>
      <c r="S69" s="3">
        <v>0</v>
      </c>
    </row>
    <row r="70" spans="1:25" x14ac:dyDescent="0.25">
      <c r="O70" t="s">
        <v>16</v>
      </c>
      <c r="P70">
        <v>-7.77</v>
      </c>
      <c r="Q70">
        <v>0.53</v>
      </c>
      <c r="R70">
        <v>-14.61</v>
      </c>
      <c r="S70" s="3">
        <v>0</v>
      </c>
    </row>
    <row r="71" spans="1:25" x14ac:dyDescent="0.25">
      <c r="O71" t="s">
        <v>18</v>
      </c>
      <c r="P71">
        <v>0.08</v>
      </c>
      <c r="Q71">
        <v>0.02</v>
      </c>
      <c r="R71">
        <v>4.54</v>
      </c>
      <c r="S71" s="3">
        <v>0</v>
      </c>
    </row>
    <row r="72" spans="1:25" x14ac:dyDescent="0.25">
      <c r="O72" t="s">
        <v>13</v>
      </c>
      <c r="P72">
        <v>-5.21</v>
      </c>
      <c r="Q72">
        <v>0.67</v>
      </c>
      <c r="R72">
        <v>-7.81</v>
      </c>
      <c r="S72" s="3">
        <v>0</v>
      </c>
    </row>
    <row r="73" spans="1:25" x14ac:dyDescent="0.25">
      <c r="O73" t="s">
        <v>17</v>
      </c>
      <c r="P73">
        <v>5.83</v>
      </c>
      <c r="Q73">
        <v>0.03</v>
      </c>
      <c r="R73">
        <v>202.83</v>
      </c>
      <c r="S73" s="3">
        <v>0</v>
      </c>
    </row>
    <row r="75" spans="1:25" x14ac:dyDescent="0.25">
      <c r="A75" s="5" t="s">
        <v>57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x14ac:dyDescent="0.25">
      <c r="A76" s="2" t="s">
        <v>1</v>
      </c>
      <c r="N76" s="1" t="s">
        <v>58</v>
      </c>
    </row>
    <row r="77" spans="1:25" x14ac:dyDescent="0.25">
      <c r="A77" s="2"/>
      <c r="B77" t="s">
        <v>35</v>
      </c>
      <c r="C77" t="s">
        <v>4</v>
      </c>
      <c r="D77" t="s">
        <v>36</v>
      </c>
      <c r="E77" t="s">
        <v>37</v>
      </c>
      <c r="F77" t="s">
        <v>38</v>
      </c>
      <c r="G77" t="s">
        <v>26</v>
      </c>
      <c r="H77" t="s">
        <v>39</v>
      </c>
      <c r="O77" t="s">
        <v>35</v>
      </c>
      <c r="P77" t="s">
        <v>4</v>
      </c>
      <c r="Q77" t="s">
        <v>36</v>
      </c>
      <c r="R77" t="s">
        <v>37</v>
      </c>
      <c r="S77" t="s">
        <v>38</v>
      </c>
      <c r="T77" t="s">
        <v>26</v>
      </c>
      <c r="U77" t="s">
        <v>39</v>
      </c>
    </row>
    <row r="78" spans="1:25" x14ac:dyDescent="0.25">
      <c r="A78" s="2"/>
      <c r="B78" t="s">
        <v>12</v>
      </c>
      <c r="C78">
        <v>106.32550000000001</v>
      </c>
      <c r="D78">
        <v>2.8140000000000001</v>
      </c>
      <c r="E78">
        <v>100.81010000000001</v>
      </c>
      <c r="F78">
        <v>111.8409</v>
      </c>
      <c r="G78">
        <v>37.78</v>
      </c>
      <c r="H78" t="s">
        <v>29</v>
      </c>
      <c r="O78" t="s">
        <v>12</v>
      </c>
      <c r="P78">
        <v>106.17230000000001</v>
      </c>
      <c r="Q78">
        <v>3.4883999999999999</v>
      </c>
      <c r="R78">
        <v>99.3352</v>
      </c>
      <c r="S78">
        <v>113.0094</v>
      </c>
      <c r="T78">
        <v>30.44</v>
      </c>
      <c r="U78" t="s">
        <v>29</v>
      </c>
    </row>
    <row r="79" spans="1:25" x14ac:dyDescent="0.25">
      <c r="A79" s="2"/>
      <c r="B79" t="s">
        <v>15</v>
      </c>
      <c r="C79">
        <v>-1.1145</v>
      </c>
      <c r="D79">
        <v>0.77959999999999996</v>
      </c>
      <c r="E79">
        <v>-2.6423999999999999</v>
      </c>
      <c r="F79">
        <v>0.41339999999999999</v>
      </c>
      <c r="G79">
        <v>-1.43</v>
      </c>
      <c r="H79">
        <v>0.15279999999999999</v>
      </c>
      <c r="O79" t="s">
        <v>15</v>
      </c>
      <c r="P79">
        <v>-1.2113</v>
      </c>
      <c r="Q79">
        <v>0.96909999999999996</v>
      </c>
      <c r="R79">
        <v>-3.1107999999999998</v>
      </c>
      <c r="S79">
        <v>0.68810000000000004</v>
      </c>
      <c r="T79">
        <v>-1.25</v>
      </c>
      <c r="U79">
        <v>0.21129999999999999</v>
      </c>
    </row>
    <row r="80" spans="1:25" x14ac:dyDescent="0.25">
      <c r="A80" s="2"/>
      <c r="B80" t="s">
        <v>14</v>
      </c>
      <c r="C80">
        <v>7.7577999999999996</v>
      </c>
      <c r="D80">
        <v>0.68379999999999996</v>
      </c>
      <c r="E80">
        <v>6.4175000000000004</v>
      </c>
      <c r="F80">
        <v>9.0981000000000005</v>
      </c>
      <c r="G80">
        <v>11.34</v>
      </c>
      <c r="H80" t="s">
        <v>29</v>
      </c>
      <c r="O80" t="s">
        <v>14</v>
      </c>
      <c r="P80">
        <v>8.0115999999999996</v>
      </c>
      <c r="Q80">
        <v>0.71840000000000004</v>
      </c>
      <c r="R80">
        <v>6.6036000000000001</v>
      </c>
      <c r="S80">
        <v>9.4194999999999993</v>
      </c>
      <c r="T80">
        <v>11.15</v>
      </c>
      <c r="U80" t="s">
        <v>29</v>
      </c>
    </row>
    <row r="81" spans="1:21" x14ac:dyDescent="0.25">
      <c r="A81" s="2"/>
      <c r="B81" t="s">
        <v>16</v>
      </c>
      <c r="C81">
        <v>-8.0876000000000001</v>
      </c>
      <c r="D81">
        <v>0.90059999999999996</v>
      </c>
      <c r="E81">
        <v>-9.8529</v>
      </c>
      <c r="F81">
        <v>-6.3224</v>
      </c>
      <c r="G81">
        <v>-8.98</v>
      </c>
      <c r="H81" t="s">
        <v>29</v>
      </c>
      <c r="O81" t="s">
        <v>16</v>
      </c>
      <c r="P81">
        <v>-8.0451999999999995</v>
      </c>
      <c r="Q81">
        <v>0.93020000000000003</v>
      </c>
      <c r="R81">
        <v>-9.8684999999999992</v>
      </c>
      <c r="S81">
        <v>-6.2220000000000004</v>
      </c>
      <c r="T81">
        <v>-8.65</v>
      </c>
      <c r="U81" t="s">
        <v>29</v>
      </c>
    </row>
    <row r="82" spans="1:21" x14ac:dyDescent="0.25">
      <c r="A82" s="2"/>
      <c r="B82" t="s">
        <v>18</v>
      </c>
      <c r="C82">
        <v>2.4400000000000002E-2</v>
      </c>
      <c r="D82">
        <v>3.2000000000000001E-2</v>
      </c>
      <c r="E82">
        <v>-3.8300000000000001E-2</v>
      </c>
      <c r="F82">
        <v>8.6999999999999994E-2</v>
      </c>
      <c r="G82">
        <v>0.76</v>
      </c>
      <c r="H82">
        <v>0.44629999999999997</v>
      </c>
      <c r="O82" t="s">
        <v>18</v>
      </c>
      <c r="P82">
        <v>3.7900000000000003E-2</v>
      </c>
      <c r="Q82">
        <v>2.7E-2</v>
      </c>
      <c r="R82">
        <v>-1.5100000000000001E-2</v>
      </c>
      <c r="S82">
        <v>9.0899999999999995E-2</v>
      </c>
      <c r="T82">
        <v>1.4</v>
      </c>
      <c r="U82">
        <v>0.16059999999999999</v>
      </c>
    </row>
    <row r="83" spans="1:21" x14ac:dyDescent="0.25">
      <c r="A83" s="2"/>
      <c r="B83" t="s">
        <v>13</v>
      </c>
      <c r="C83">
        <v>-5.1424000000000003</v>
      </c>
      <c r="D83">
        <v>1.1959</v>
      </c>
      <c r="E83">
        <v>-7.4863</v>
      </c>
      <c r="F83">
        <v>-2.7985000000000002</v>
      </c>
      <c r="G83">
        <v>-4.3</v>
      </c>
      <c r="H83" t="s">
        <v>29</v>
      </c>
      <c r="O83" t="s">
        <v>13</v>
      </c>
      <c r="P83">
        <v>-5.2743000000000002</v>
      </c>
      <c r="Q83">
        <v>1.3653999999999999</v>
      </c>
      <c r="R83">
        <v>-7.9504999999999999</v>
      </c>
      <c r="S83">
        <v>-2.5981000000000001</v>
      </c>
      <c r="T83">
        <v>-3.86</v>
      </c>
      <c r="U83">
        <v>1E-4</v>
      </c>
    </row>
    <row r="84" spans="1:21" x14ac:dyDescent="0.25">
      <c r="A84" s="2"/>
      <c r="B84" t="s">
        <v>17</v>
      </c>
      <c r="C84">
        <v>5.8979999999999997</v>
      </c>
      <c r="D84">
        <v>4.82E-2</v>
      </c>
      <c r="E84">
        <v>5.8036000000000003</v>
      </c>
      <c r="F84">
        <v>5.9924999999999997</v>
      </c>
      <c r="G84">
        <v>122.37</v>
      </c>
      <c r="H84" t="s">
        <v>29</v>
      </c>
      <c r="O84" t="s">
        <v>17</v>
      </c>
      <c r="P84">
        <v>5.8845999999999998</v>
      </c>
      <c r="Q84">
        <v>4.6800000000000001E-2</v>
      </c>
      <c r="R84">
        <v>5.7930000000000001</v>
      </c>
      <c r="S84">
        <v>5.9763000000000002</v>
      </c>
      <c r="T84">
        <v>125.87</v>
      </c>
      <c r="U84" t="s">
        <v>29</v>
      </c>
    </row>
    <row r="85" spans="1:21" x14ac:dyDescent="0.25">
      <c r="A85" s="2"/>
    </row>
    <row r="86" spans="1:21" x14ac:dyDescent="0.25">
      <c r="A86" s="2" t="s">
        <v>19</v>
      </c>
      <c r="N86" s="1" t="s">
        <v>59</v>
      </c>
    </row>
    <row r="87" spans="1:21" x14ac:dyDescent="0.25">
      <c r="A87" s="2"/>
      <c r="B87" t="s">
        <v>35</v>
      </c>
      <c r="C87" t="s">
        <v>4</v>
      </c>
      <c r="D87" t="s">
        <v>36</v>
      </c>
      <c r="E87" t="s">
        <v>37</v>
      </c>
      <c r="F87" t="s">
        <v>38</v>
      </c>
      <c r="G87" t="s">
        <v>26</v>
      </c>
      <c r="H87" t="s">
        <v>39</v>
      </c>
      <c r="O87" t="s">
        <v>35</v>
      </c>
      <c r="P87" t="s">
        <v>4</v>
      </c>
      <c r="Q87" t="s">
        <v>36</v>
      </c>
      <c r="R87" t="s">
        <v>37</v>
      </c>
      <c r="S87" t="s">
        <v>38</v>
      </c>
      <c r="T87" t="s">
        <v>26</v>
      </c>
      <c r="U87" t="s">
        <v>39</v>
      </c>
    </row>
    <row r="88" spans="1:21" x14ac:dyDescent="0.25">
      <c r="A88" s="2"/>
      <c r="B88" t="s">
        <v>12</v>
      </c>
      <c r="C88">
        <v>106.32550000000001</v>
      </c>
      <c r="D88">
        <v>2.8140000000000001</v>
      </c>
      <c r="E88">
        <v>100.81010000000001</v>
      </c>
      <c r="F88">
        <v>111.8409</v>
      </c>
      <c r="G88">
        <v>37.78</v>
      </c>
      <c r="H88" t="s">
        <v>29</v>
      </c>
      <c r="O88" t="s">
        <v>12</v>
      </c>
      <c r="P88">
        <v>106.17230000000001</v>
      </c>
      <c r="Q88">
        <v>3.4883999999999999</v>
      </c>
      <c r="R88">
        <v>99.3352</v>
      </c>
      <c r="S88">
        <v>113.0094</v>
      </c>
      <c r="T88">
        <v>30.44</v>
      </c>
      <c r="U88" t="s">
        <v>29</v>
      </c>
    </row>
    <row r="89" spans="1:21" x14ac:dyDescent="0.25">
      <c r="A89" s="2"/>
      <c r="B89" t="s">
        <v>15</v>
      </c>
      <c r="C89">
        <v>-1.1145</v>
      </c>
      <c r="D89">
        <v>0.77959999999999996</v>
      </c>
      <c r="E89">
        <v>-2.6423999999999999</v>
      </c>
      <c r="F89">
        <v>0.41339999999999999</v>
      </c>
      <c r="G89">
        <v>-1.43</v>
      </c>
      <c r="H89">
        <v>0.15279999999999999</v>
      </c>
      <c r="O89" t="s">
        <v>15</v>
      </c>
      <c r="P89">
        <v>-1.2113</v>
      </c>
      <c r="Q89">
        <v>0.96909999999999996</v>
      </c>
      <c r="R89">
        <v>-3.1107999999999998</v>
      </c>
      <c r="S89">
        <v>0.68810000000000004</v>
      </c>
      <c r="T89">
        <v>-1.25</v>
      </c>
      <c r="U89">
        <v>0.21129999999999999</v>
      </c>
    </row>
    <row r="90" spans="1:21" x14ac:dyDescent="0.25">
      <c r="A90" s="2"/>
      <c r="B90" t="s">
        <v>14</v>
      </c>
      <c r="C90">
        <v>7.7577999999999996</v>
      </c>
      <c r="D90">
        <v>0.68379999999999996</v>
      </c>
      <c r="E90">
        <v>6.4175000000000004</v>
      </c>
      <c r="F90">
        <v>9.0981000000000005</v>
      </c>
      <c r="G90">
        <v>11.34</v>
      </c>
      <c r="H90" t="s">
        <v>29</v>
      </c>
      <c r="O90" t="s">
        <v>14</v>
      </c>
      <c r="P90">
        <v>8.0115999999999996</v>
      </c>
      <c r="Q90">
        <v>0.71840000000000004</v>
      </c>
      <c r="R90">
        <v>6.6036000000000001</v>
      </c>
      <c r="S90">
        <v>9.4194999999999993</v>
      </c>
      <c r="T90">
        <v>11.15</v>
      </c>
      <c r="U90" t="s">
        <v>29</v>
      </c>
    </row>
    <row r="91" spans="1:21" x14ac:dyDescent="0.25">
      <c r="A91" s="2"/>
      <c r="B91" t="s">
        <v>16</v>
      </c>
      <c r="C91">
        <v>-8.0876000000000001</v>
      </c>
      <c r="D91">
        <v>0.90059999999999996</v>
      </c>
      <c r="E91">
        <v>-9.8529</v>
      </c>
      <c r="F91">
        <v>-6.3224</v>
      </c>
      <c r="G91">
        <v>-8.98</v>
      </c>
      <c r="H91" t="s">
        <v>29</v>
      </c>
      <c r="O91" t="s">
        <v>16</v>
      </c>
      <c r="P91">
        <v>-8.0451999999999995</v>
      </c>
      <c r="Q91">
        <v>0.93020000000000003</v>
      </c>
      <c r="R91">
        <v>-9.8684999999999992</v>
      </c>
      <c r="S91">
        <v>-6.2220000000000004</v>
      </c>
      <c r="T91">
        <v>-8.65</v>
      </c>
      <c r="U91" t="s">
        <v>29</v>
      </c>
    </row>
    <row r="92" spans="1:21" x14ac:dyDescent="0.25">
      <c r="A92" s="2"/>
      <c r="B92" t="s">
        <v>18</v>
      </c>
      <c r="C92">
        <v>2.4400000000000002E-2</v>
      </c>
      <c r="D92">
        <v>3.2000000000000001E-2</v>
      </c>
      <c r="E92">
        <v>-3.8300000000000001E-2</v>
      </c>
      <c r="F92">
        <v>8.6999999999999994E-2</v>
      </c>
      <c r="G92">
        <v>0.76</v>
      </c>
      <c r="H92">
        <v>0.44629999999999997</v>
      </c>
      <c r="O92" t="s">
        <v>18</v>
      </c>
      <c r="P92">
        <v>3.7900000000000003E-2</v>
      </c>
      <c r="Q92">
        <v>2.7E-2</v>
      </c>
      <c r="R92">
        <v>-1.5100000000000001E-2</v>
      </c>
      <c r="S92">
        <v>9.0899999999999995E-2</v>
      </c>
      <c r="T92">
        <v>1.4</v>
      </c>
      <c r="U92">
        <v>0.16059999999999999</v>
      </c>
    </row>
    <row r="93" spans="1:21" x14ac:dyDescent="0.25">
      <c r="A93" s="2"/>
      <c r="B93" t="s">
        <v>13</v>
      </c>
      <c r="C93">
        <v>-5.1424000000000003</v>
      </c>
      <c r="D93">
        <v>1.1959</v>
      </c>
      <c r="E93">
        <v>-7.4863</v>
      </c>
      <c r="F93">
        <v>-2.7985000000000002</v>
      </c>
      <c r="G93">
        <v>-4.3</v>
      </c>
      <c r="H93" t="s">
        <v>29</v>
      </c>
      <c r="O93" t="s">
        <v>13</v>
      </c>
      <c r="P93">
        <v>-5.2743000000000002</v>
      </c>
      <c r="Q93">
        <v>1.3653999999999999</v>
      </c>
      <c r="R93">
        <v>-7.9504999999999999</v>
      </c>
      <c r="S93">
        <v>-2.5981000000000001</v>
      </c>
      <c r="T93">
        <v>-3.86</v>
      </c>
      <c r="U93">
        <v>1E-4</v>
      </c>
    </row>
    <row r="94" spans="1:21" x14ac:dyDescent="0.25">
      <c r="A94" s="2"/>
      <c r="B94" t="s">
        <v>17</v>
      </c>
      <c r="C94">
        <v>5.8979999999999997</v>
      </c>
      <c r="D94">
        <v>4.82E-2</v>
      </c>
      <c r="E94">
        <v>5.8036000000000003</v>
      </c>
      <c r="F94">
        <v>5.9924999999999997</v>
      </c>
      <c r="G94">
        <v>122.37</v>
      </c>
      <c r="H94" t="s">
        <v>29</v>
      </c>
      <c r="O94" t="s">
        <v>17</v>
      </c>
      <c r="P94">
        <v>5.8845999999999998</v>
      </c>
      <c r="Q94">
        <v>4.6800000000000001E-2</v>
      </c>
      <c r="R94">
        <v>5.7930000000000001</v>
      </c>
      <c r="S94">
        <v>5.9763000000000002</v>
      </c>
      <c r="T94">
        <v>125.87</v>
      </c>
      <c r="U94" t="s">
        <v>29</v>
      </c>
    </row>
    <row r="95" spans="1:21" x14ac:dyDescent="0.25">
      <c r="A95" s="2"/>
    </row>
    <row r="96" spans="1:21" x14ac:dyDescent="0.25">
      <c r="A96" s="1" t="s">
        <v>60</v>
      </c>
      <c r="N96" s="1" t="s">
        <v>61</v>
      </c>
    </row>
    <row r="97" spans="1:25" x14ac:dyDescent="0.25">
      <c r="A97" t="s">
        <v>44</v>
      </c>
      <c r="B97" t="s">
        <v>35</v>
      </c>
      <c r="C97" t="s">
        <v>4</v>
      </c>
      <c r="D97" t="s">
        <v>36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 t="s">
        <v>50</v>
      </c>
      <c r="K97" t="s">
        <v>51</v>
      </c>
      <c r="L97" t="s">
        <v>52</v>
      </c>
      <c r="N97" t="s">
        <v>44</v>
      </c>
      <c r="O97" t="s">
        <v>35</v>
      </c>
      <c r="P97" t="s">
        <v>4</v>
      </c>
      <c r="Q97" t="s">
        <v>36</v>
      </c>
      <c r="R97" t="s">
        <v>45</v>
      </c>
      <c r="S97" t="s">
        <v>46</v>
      </c>
      <c r="T97" t="s">
        <v>47</v>
      </c>
      <c r="U97" t="s">
        <v>48</v>
      </c>
      <c r="V97" t="s">
        <v>49</v>
      </c>
      <c r="W97" t="s">
        <v>50</v>
      </c>
      <c r="X97" t="s">
        <v>51</v>
      </c>
      <c r="Y97" t="s">
        <v>52</v>
      </c>
    </row>
    <row r="98" spans="1:25" x14ac:dyDescent="0.25">
      <c r="A98">
        <v>5</v>
      </c>
      <c r="B98" t="s">
        <v>53</v>
      </c>
      <c r="C98">
        <v>105.021393</v>
      </c>
      <c r="D98">
        <v>2.3274300000000001</v>
      </c>
      <c r="E98">
        <v>100.45959999999999</v>
      </c>
      <c r="F98">
        <v>109.58320000000001</v>
      </c>
      <c r="G98">
        <v>63866</v>
      </c>
      <c r="H98">
        <v>104.790269</v>
      </c>
      <c r="I98">
        <v>105.218518</v>
      </c>
      <c r="J98">
        <v>0</v>
      </c>
      <c r="K98">
        <v>45.12</v>
      </c>
      <c r="L98" t="s">
        <v>29</v>
      </c>
      <c r="N98">
        <v>5</v>
      </c>
      <c r="O98" t="s">
        <v>53</v>
      </c>
      <c r="P98">
        <v>105.145066</v>
      </c>
      <c r="Q98">
        <v>2.4182199999999998</v>
      </c>
      <c r="R98">
        <v>100.4053</v>
      </c>
      <c r="S98">
        <v>109.8848</v>
      </c>
      <c r="T98">
        <v>56285</v>
      </c>
      <c r="U98">
        <v>104.890776</v>
      </c>
      <c r="V98">
        <v>105.334271</v>
      </c>
      <c r="W98">
        <v>0</v>
      </c>
      <c r="X98">
        <v>43.48</v>
      </c>
      <c r="Y98" t="s">
        <v>29</v>
      </c>
    </row>
    <row r="99" spans="1:25" x14ac:dyDescent="0.25">
      <c r="A99">
        <v>5</v>
      </c>
      <c r="B99" t="s">
        <v>15</v>
      </c>
      <c r="C99">
        <v>-1.0301</v>
      </c>
      <c r="D99">
        <v>0.56030000000000002</v>
      </c>
      <c r="E99">
        <v>-2.1282999999999999</v>
      </c>
      <c r="F99">
        <v>6.8099999999999994E-2</v>
      </c>
      <c r="G99">
        <v>18936</v>
      </c>
      <c r="H99">
        <v>-1.0802240000000001</v>
      </c>
      <c r="I99">
        <v>-0.94817200000000001</v>
      </c>
      <c r="J99">
        <v>0</v>
      </c>
      <c r="K99">
        <v>-1.84</v>
      </c>
      <c r="L99">
        <v>6.6000000000000003E-2</v>
      </c>
      <c r="N99">
        <v>5</v>
      </c>
      <c r="O99" t="s">
        <v>15</v>
      </c>
      <c r="P99">
        <v>-1.1468959999999999</v>
      </c>
      <c r="Q99">
        <v>0.61219400000000002</v>
      </c>
      <c r="R99">
        <v>-2.3469000000000002</v>
      </c>
      <c r="S99">
        <v>5.3100000000000001E-2</v>
      </c>
      <c r="T99">
        <v>15429</v>
      </c>
      <c r="U99">
        <v>-1.202007</v>
      </c>
      <c r="V99">
        <v>-1.0547709999999999</v>
      </c>
      <c r="W99">
        <v>0</v>
      </c>
      <c r="X99">
        <v>-1.87</v>
      </c>
      <c r="Y99">
        <v>6.0999999999999999E-2</v>
      </c>
    </row>
    <row r="100" spans="1:25" x14ac:dyDescent="0.25">
      <c r="A100">
        <v>5</v>
      </c>
      <c r="B100" t="s">
        <v>14</v>
      </c>
      <c r="C100">
        <v>8.2842199999999995</v>
      </c>
      <c r="D100">
        <v>0.52792399999999995</v>
      </c>
      <c r="E100">
        <v>7.2495000000000003</v>
      </c>
      <c r="F100">
        <v>9.3188999999999993</v>
      </c>
      <c r="G100">
        <v>316120</v>
      </c>
      <c r="H100">
        <v>8.264659</v>
      </c>
      <c r="I100">
        <v>8.3293009999999992</v>
      </c>
      <c r="J100">
        <v>0</v>
      </c>
      <c r="K100">
        <v>15.69</v>
      </c>
      <c r="L100" t="s">
        <v>29</v>
      </c>
      <c r="N100">
        <v>5</v>
      </c>
      <c r="O100" t="s">
        <v>14</v>
      </c>
      <c r="P100">
        <v>8.6180310000000002</v>
      </c>
      <c r="Q100">
        <v>0.62844500000000003</v>
      </c>
      <c r="R100">
        <v>7.3863000000000003</v>
      </c>
      <c r="S100">
        <v>9.8498000000000001</v>
      </c>
      <c r="T100" s="4">
        <v>1200000</v>
      </c>
      <c r="U100">
        <v>8.5999029999999994</v>
      </c>
      <c r="V100">
        <v>8.6607210000000006</v>
      </c>
      <c r="W100">
        <v>0</v>
      </c>
      <c r="X100">
        <v>13.71</v>
      </c>
      <c r="Y100" t="s">
        <v>29</v>
      </c>
    </row>
    <row r="101" spans="1:25" x14ac:dyDescent="0.25">
      <c r="A101">
        <v>5</v>
      </c>
      <c r="B101" t="s">
        <v>16</v>
      </c>
      <c r="C101">
        <v>-7.8194220000000003</v>
      </c>
      <c r="D101">
        <v>0.71378299999999995</v>
      </c>
      <c r="E101">
        <v>-9.2184000000000008</v>
      </c>
      <c r="F101">
        <v>-6.4203999999999999</v>
      </c>
      <c r="G101" s="4">
        <v>2170000</v>
      </c>
      <c r="H101">
        <v>-7.8484959999999999</v>
      </c>
      <c r="I101">
        <v>-7.794562</v>
      </c>
      <c r="J101">
        <v>0</v>
      </c>
      <c r="K101">
        <v>-10.95</v>
      </c>
      <c r="L101" t="s">
        <v>29</v>
      </c>
      <c r="N101">
        <v>5</v>
      </c>
      <c r="O101" t="s">
        <v>16</v>
      </c>
      <c r="P101">
        <v>-7.775398</v>
      </c>
      <c r="Q101">
        <v>0.78786199999999995</v>
      </c>
      <c r="R101">
        <v>-9.3195999999999994</v>
      </c>
      <c r="S101">
        <v>-6.2312000000000003</v>
      </c>
      <c r="T101" s="4">
        <v>29500000</v>
      </c>
      <c r="U101">
        <v>-7.7928879999999996</v>
      </c>
      <c r="V101">
        <v>-7.7579149999999997</v>
      </c>
      <c r="W101">
        <v>0</v>
      </c>
      <c r="X101">
        <v>-9.8699999999999992</v>
      </c>
      <c r="Y101" t="s">
        <v>29</v>
      </c>
    </row>
    <row r="102" spans="1:25" x14ac:dyDescent="0.25">
      <c r="A102">
        <v>5</v>
      </c>
      <c r="B102" t="s">
        <v>18</v>
      </c>
      <c r="C102">
        <v>4.6678999999999998E-2</v>
      </c>
      <c r="D102">
        <v>2.8098000000000001E-2</v>
      </c>
      <c r="E102">
        <v>-8.8999999999999999E-3</v>
      </c>
      <c r="F102">
        <v>0.1023</v>
      </c>
      <c r="G102">
        <v>128.27000000000001</v>
      </c>
      <c r="H102">
        <v>3.6799999999999999E-2</v>
      </c>
      <c r="I102">
        <v>6.0826999999999999E-2</v>
      </c>
      <c r="J102">
        <v>0</v>
      </c>
      <c r="K102">
        <v>1.66</v>
      </c>
      <c r="L102">
        <v>9.9099999999999994E-2</v>
      </c>
      <c r="N102">
        <v>5</v>
      </c>
      <c r="O102" t="s">
        <v>18</v>
      </c>
      <c r="P102">
        <v>5.3259000000000001E-2</v>
      </c>
      <c r="Q102">
        <v>2.5582000000000001E-2</v>
      </c>
      <c r="R102">
        <v>1.6999999999999999E-3</v>
      </c>
      <c r="S102">
        <v>0.1048</v>
      </c>
      <c r="T102">
        <v>43.735999999999997</v>
      </c>
      <c r="U102">
        <v>4.1369000000000003E-2</v>
      </c>
      <c r="V102">
        <v>6.8671999999999997E-2</v>
      </c>
      <c r="W102">
        <v>0</v>
      </c>
      <c r="X102">
        <v>2.08</v>
      </c>
      <c r="Y102">
        <v>4.3200000000000002E-2</v>
      </c>
    </row>
    <row r="103" spans="1:25" x14ac:dyDescent="0.25">
      <c r="A103">
        <v>5</v>
      </c>
      <c r="B103" t="s">
        <v>13</v>
      </c>
      <c r="C103">
        <v>-6.0099320000000001</v>
      </c>
      <c r="D103">
        <v>0.87661500000000003</v>
      </c>
      <c r="E103">
        <v>-7.7286000000000001</v>
      </c>
      <c r="F103">
        <v>-4.2912999999999997</v>
      </c>
      <c r="G103">
        <v>3903.8</v>
      </c>
      <c r="H103">
        <v>-6.1533819999999997</v>
      </c>
      <c r="I103">
        <v>-5.7918719999999997</v>
      </c>
      <c r="J103">
        <v>0</v>
      </c>
      <c r="K103">
        <v>-6.86</v>
      </c>
      <c r="L103" t="s">
        <v>29</v>
      </c>
      <c r="N103">
        <v>5</v>
      </c>
      <c r="O103" t="s">
        <v>13</v>
      </c>
      <c r="P103">
        <v>-5.9633240000000001</v>
      </c>
      <c r="Q103">
        <v>0.983684</v>
      </c>
      <c r="R103">
        <v>-7.8914999999999997</v>
      </c>
      <c r="S103">
        <v>-4.0350999999999999</v>
      </c>
      <c r="T103">
        <v>9766</v>
      </c>
      <c r="U103">
        <v>-6.0719560000000001</v>
      </c>
      <c r="V103">
        <v>-5.7487649999999997</v>
      </c>
      <c r="W103">
        <v>0</v>
      </c>
      <c r="X103">
        <v>-6.06</v>
      </c>
      <c r="Y103" t="s">
        <v>29</v>
      </c>
    </row>
    <row r="104" spans="1:25" x14ac:dyDescent="0.25">
      <c r="A104">
        <v>5</v>
      </c>
      <c r="B104" t="s">
        <v>17</v>
      </c>
      <c r="C104">
        <v>6.0105019999999998</v>
      </c>
      <c r="D104">
        <v>4.1183999999999998E-2</v>
      </c>
      <c r="E104">
        <v>5.9294000000000002</v>
      </c>
      <c r="F104">
        <v>6.0915999999999997</v>
      </c>
      <c r="G104">
        <v>274.23</v>
      </c>
      <c r="H104">
        <v>5.9943479999999996</v>
      </c>
      <c r="I104">
        <v>6.0214239999999997</v>
      </c>
      <c r="J104">
        <v>0</v>
      </c>
      <c r="K104">
        <v>145.94</v>
      </c>
      <c r="L104" t="s">
        <v>29</v>
      </c>
      <c r="N104">
        <v>5</v>
      </c>
      <c r="O104" t="s">
        <v>17</v>
      </c>
      <c r="P104">
        <v>6.0060880000000001</v>
      </c>
      <c r="Q104">
        <v>3.9808999999999997E-2</v>
      </c>
      <c r="R104">
        <v>5.9273999999999996</v>
      </c>
      <c r="S104">
        <v>6.0848000000000004</v>
      </c>
      <c r="T104">
        <v>139.16999999999999</v>
      </c>
      <c r="U104">
        <v>5.988321</v>
      </c>
      <c r="V104">
        <v>6.019431</v>
      </c>
      <c r="W104">
        <v>0</v>
      </c>
      <c r="X104">
        <v>150.87</v>
      </c>
      <c r="Y104" t="s">
        <v>29</v>
      </c>
    </row>
    <row r="106" spans="1:25" x14ac:dyDescent="0.25">
      <c r="A106" s="1" t="s">
        <v>62</v>
      </c>
      <c r="N106" s="1" t="s">
        <v>63</v>
      </c>
    </row>
    <row r="107" spans="1:25" x14ac:dyDescent="0.25">
      <c r="A107" t="s">
        <v>44</v>
      </c>
      <c r="B107" t="s">
        <v>35</v>
      </c>
      <c r="C107" t="s">
        <v>4</v>
      </c>
      <c r="D107" t="s">
        <v>36</v>
      </c>
      <c r="E107" t="s">
        <v>45</v>
      </c>
      <c r="F107" t="s">
        <v>46</v>
      </c>
      <c r="G107" t="s">
        <v>47</v>
      </c>
      <c r="H107" t="s">
        <v>48</v>
      </c>
      <c r="I107" t="s">
        <v>49</v>
      </c>
      <c r="J107" t="s">
        <v>50</v>
      </c>
      <c r="K107" t="s">
        <v>51</v>
      </c>
      <c r="L107" t="s">
        <v>52</v>
      </c>
      <c r="N107" t="s">
        <v>44</v>
      </c>
      <c r="O107" t="s">
        <v>35</v>
      </c>
      <c r="P107" t="s">
        <v>4</v>
      </c>
      <c r="Q107" t="s">
        <v>36</v>
      </c>
      <c r="R107" t="s">
        <v>45</v>
      </c>
      <c r="S107" t="s">
        <v>46</v>
      </c>
      <c r="T107" t="s">
        <v>47</v>
      </c>
      <c r="U107" t="s">
        <v>48</v>
      </c>
    </row>
    <row r="108" spans="1:25" x14ac:dyDescent="0.25">
      <c r="A108">
        <v>5</v>
      </c>
      <c r="B108" t="s">
        <v>53</v>
      </c>
      <c r="C108">
        <v>105.021393</v>
      </c>
      <c r="D108">
        <v>2.3274300000000001</v>
      </c>
      <c r="E108">
        <v>100.45959999999999</v>
      </c>
      <c r="F108">
        <v>109.58320000000001</v>
      </c>
      <c r="G108">
        <v>63866</v>
      </c>
      <c r="H108">
        <v>104.790269</v>
      </c>
      <c r="I108">
        <v>105.218518</v>
      </c>
      <c r="J108">
        <v>0</v>
      </c>
      <c r="K108">
        <v>45.12</v>
      </c>
      <c r="L108" t="s">
        <v>29</v>
      </c>
      <c r="N108">
        <v>5</v>
      </c>
      <c r="O108" t="s">
        <v>53</v>
      </c>
      <c r="P108">
        <v>105.145066</v>
      </c>
      <c r="Q108">
        <v>2.4182199999999998</v>
      </c>
      <c r="R108">
        <v>100.4053</v>
      </c>
      <c r="S108">
        <v>109.8848</v>
      </c>
      <c r="T108">
        <v>56285</v>
      </c>
      <c r="U108">
        <v>104.890776</v>
      </c>
    </row>
    <row r="109" spans="1:25" x14ac:dyDescent="0.25">
      <c r="A109">
        <v>5</v>
      </c>
      <c r="B109" t="s">
        <v>15</v>
      </c>
      <c r="C109">
        <v>-1.0301</v>
      </c>
      <c r="D109">
        <v>0.56030000000000002</v>
      </c>
      <c r="E109">
        <v>-2.1282999999999999</v>
      </c>
      <c r="F109">
        <v>6.8099999999999994E-2</v>
      </c>
      <c r="G109">
        <v>18936</v>
      </c>
      <c r="H109">
        <v>-1.0802240000000001</v>
      </c>
      <c r="I109">
        <v>-0.94817200000000001</v>
      </c>
      <c r="J109">
        <v>0</v>
      </c>
      <c r="K109">
        <v>-1.84</v>
      </c>
      <c r="L109">
        <v>6.6000000000000003E-2</v>
      </c>
      <c r="N109">
        <v>5</v>
      </c>
      <c r="O109" t="s">
        <v>15</v>
      </c>
      <c r="P109">
        <v>-1.1468959999999999</v>
      </c>
      <c r="Q109">
        <v>0.61219400000000002</v>
      </c>
      <c r="R109">
        <v>-2.3469000000000002</v>
      </c>
      <c r="S109">
        <v>5.3100000000000001E-2</v>
      </c>
      <c r="T109">
        <v>15429</v>
      </c>
      <c r="U109">
        <v>-1.202007</v>
      </c>
    </row>
    <row r="110" spans="1:25" x14ac:dyDescent="0.25">
      <c r="A110">
        <v>5</v>
      </c>
      <c r="B110" t="s">
        <v>14</v>
      </c>
      <c r="C110">
        <v>8.2842199999999995</v>
      </c>
      <c r="D110">
        <v>0.52792399999999995</v>
      </c>
      <c r="E110">
        <v>7.2495000000000003</v>
      </c>
      <c r="F110">
        <v>9.3188999999999993</v>
      </c>
      <c r="G110">
        <v>316120</v>
      </c>
      <c r="H110">
        <v>8.264659</v>
      </c>
      <c r="I110">
        <v>8.3293009999999992</v>
      </c>
      <c r="J110">
        <v>0</v>
      </c>
      <c r="K110">
        <v>15.69</v>
      </c>
      <c r="L110" t="s">
        <v>29</v>
      </c>
      <c r="N110">
        <v>5</v>
      </c>
      <c r="O110" t="s">
        <v>14</v>
      </c>
      <c r="P110">
        <v>8.6180310000000002</v>
      </c>
      <c r="Q110">
        <v>0.62844500000000003</v>
      </c>
      <c r="R110">
        <v>7.3863000000000003</v>
      </c>
      <c r="S110">
        <v>9.8498000000000001</v>
      </c>
      <c r="T110" s="4">
        <v>1200000</v>
      </c>
      <c r="U110">
        <v>8.5999029999999994</v>
      </c>
    </row>
    <row r="111" spans="1:25" x14ac:dyDescent="0.25">
      <c r="A111">
        <v>5</v>
      </c>
      <c r="B111" t="s">
        <v>16</v>
      </c>
      <c r="C111">
        <v>-7.8194220000000003</v>
      </c>
      <c r="D111">
        <v>0.71378299999999995</v>
      </c>
      <c r="E111">
        <v>-9.2184000000000008</v>
      </c>
      <c r="F111">
        <v>-6.4203999999999999</v>
      </c>
      <c r="G111" s="4">
        <v>2170000</v>
      </c>
      <c r="H111">
        <v>-7.8484959999999999</v>
      </c>
      <c r="I111">
        <v>-7.794562</v>
      </c>
      <c r="J111">
        <v>0</v>
      </c>
      <c r="K111">
        <v>-10.95</v>
      </c>
      <c r="L111" t="s">
        <v>29</v>
      </c>
      <c r="N111">
        <v>5</v>
      </c>
      <c r="O111" t="s">
        <v>16</v>
      </c>
      <c r="P111">
        <v>-7.775398</v>
      </c>
      <c r="Q111">
        <v>0.78786199999999995</v>
      </c>
      <c r="R111">
        <v>-9.3195999999999994</v>
      </c>
      <c r="S111">
        <v>-6.2312000000000003</v>
      </c>
      <c r="T111" s="4">
        <v>29500000</v>
      </c>
      <c r="U111">
        <v>-7.7928879999999996</v>
      </c>
    </row>
    <row r="112" spans="1:25" x14ac:dyDescent="0.25">
      <c r="A112">
        <v>5</v>
      </c>
      <c r="B112" t="s">
        <v>18</v>
      </c>
      <c r="C112">
        <v>4.6678999999999998E-2</v>
      </c>
      <c r="D112">
        <v>2.8098000000000001E-2</v>
      </c>
      <c r="E112">
        <v>-8.8999999999999999E-3</v>
      </c>
      <c r="F112">
        <v>0.1023</v>
      </c>
      <c r="G112">
        <v>128.27000000000001</v>
      </c>
      <c r="H112">
        <v>3.6799999999999999E-2</v>
      </c>
      <c r="I112">
        <v>6.0826999999999999E-2</v>
      </c>
      <c r="J112">
        <v>0</v>
      </c>
      <c r="K112">
        <v>1.66</v>
      </c>
      <c r="L112">
        <v>9.9099999999999994E-2</v>
      </c>
      <c r="N112">
        <v>5</v>
      </c>
      <c r="O112" t="s">
        <v>18</v>
      </c>
      <c r="P112">
        <v>5.3259000000000001E-2</v>
      </c>
      <c r="Q112">
        <v>2.5582000000000001E-2</v>
      </c>
      <c r="R112">
        <v>1.6999999999999999E-3</v>
      </c>
      <c r="S112">
        <v>0.1048</v>
      </c>
      <c r="T112">
        <v>43.735999999999997</v>
      </c>
      <c r="U112">
        <v>4.1369000000000003E-2</v>
      </c>
    </row>
    <row r="113" spans="1:21" x14ac:dyDescent="0.25">
      <c r="A113">
        <v>5</v>
      </c>
      <c r="B113" t="s">
        <v>13</v>
      </c>
      <c r="C113">
        <v>-6.0099320000000001</v>
      </c>
      <c r="D113">
        <v>0.87661500000000003</v>
      </c>
      <c r="E113">
        <v>-7.7286000000000001</v>
      </c>
      <c r="F113">
        <v>-4.2912999999999997</v>
      </c>
      <c r="G113">
        <v>3903.8</v>
      </c>
      <c r="H113">
        <v>-6.1533819999999997</v>
      </c>
      <c r="I113">
        <v>-5.7918719999999997</v>
      </c>
      <c r="J113">
        <v>0</v>
      </c>
      <c r="K113">
        <v>-6.86</v>
      </c>
      <c r="L113" t="s">
        <v>29</v>
      </c>
      <c r="N113">
        <v>5</v>
      </c>
      <c r="O113" t="s">
        <v>13</v>
      </c>
      <c r="P113">
        <v>-5.9633240000000001</v>
      </c>
      <c r="Q113">
        <v>0.983684</v>
      </c>
      <c r="R113">
        <v>-7.8914999999999997</v>
      </c>
      <c r="S113">
        <v>-4.0350999999999999</v>
      </c>
      <c r="T113">
        <v>9766</v>
      </c>
      <c r="U113">
        <v>-6.0719560000000001</v>
      </c>
    </row>
    <row r="114" spans="1:21" x14ac:dyDescent="0.25">
      <c r="A114">
        <v>5</v>
      </c>
      <c r="B114" t="s">
        <v>17</v>
      </c>
      <c r="C114">
        <v>6.0105019999999998</v>
      </c>
      <c r="D114">
        <v>4.1183999999999998E-2</v>
      </c>
      <c r="E114">
        <v>5.9294000000000002</v>
      </c>
      <c r="F114">
        <v>6.0915999999999997</v>
      </c>
      <c r="G114">
        <v>274.23</v>
      </c>
      <c r="H114">
        <v>5.9943479999999996</v>
      </c>
      <c r="I114">
        <v>6.0214239999999997</v>
      </c>
      <c r="J114">
        <v>0</v>
      </c>
      <c r="K114">
        <v>145.94</v>
      </c>
      <c r="L114" t="s">
        <v>29</v>
      </c>
      <c r="N114">
        <v>5</v>
      </c>
      <c r="O114" t="s">
        <v>17</v>
      </c>
      <c r="P114">
        <v>6.0060880000000001</v>
      </c>
      <c r="Q114">
        <v>3.9808999999999997E-2</v>
      </c>
      <c r="R114">
        <v>5.9273999999999996</v>
      </c>
      <c r="S114">
        <v>6.0848000000000004</v>
      </c>
      <c r="T114">
        <v>139.16999999999999</v>
      </c>
      <c r="U114">
        <v>5.988321</v>
      </c>
    </row>
    <row r="116" spans="1:21" x14ac:dyDescent="0.25">
      <c r="N116" s="1" t="s">
        <v>64</v>
      </c>
    </row>
    <row r="117" spans="1:21" x14ac:dyDescent="0.25">
      <c r="N117" t="s">
        <v>35</v>
      </c>
      <c r="O117" t="s">
        <v>4</v>
      </c>
      <c r="P117" t="s">
        <v>36</v>
      </c>
      <c r="Q117" t="s">
        <v>51</v>
      </c>
      <c r="R117" t="s">
        <v>52</v>
      </c>
    </row>
    <row r="118" spans="1:21" x14ac:dyDescent="0.25">
      <c r="N118" t="s">
        <v>53</v>
      </c>
      <c r="O118">
        <v>104.5</v>
      </c>
      <c r="P118">
        <v>2.11</v>
      </c>
      <c r="Q118">
        <v>49.43</v>
      </c>
      <c r="R118" s="3">
        <v>0</v>
      </c>
    </row>
    <row r="119" spans="1:21" x14ac:dyDescent="0.25">
      <c r="N119" t="s">
        <v>15</v>
      </c>
      <c r="O119">
        <v>-0.95</v>
      </c>
      <c r="P119">
        <v>0.54</v>
      </c>
      <c r="Q119">
        <v>-1.76</v>
      </c>
      <c r="R119" s="3">
        <v>7.85E-2</v>
      </c>
    </row>
    <row r="120" spans="1:21" x14ac:dyDescent="0.25">
      <c r="N120" t="s">
        <v>14</v>
      </c>
      <c r="O120">
        <v>8.32</v>
      </c>
      <c r="P120">
        <v>0.53</v>
      </c>
      <c r="Q120">
        <v>15.78</v>
      </c>
      <c r="R120" s="3">
        <v>0</v>
      </c>
    </row>
    <row r="121" spans="1:21" x14ac:dyDescent="0.25">
      <c r="N121" t="s">
        <v>16</v>
      </c>
      <c r="O121">
        <v>-7.76</v>
      </c>
      <c r="P121">
        <v>0.7</v>
      </c>
      <c r="Q121">
        <v>-11.1</v>
      </c>
      <c r="R121" s="3">
        <v>0</v>
      </c>
    </row>
    <row r="122" spans="1:21" x14ac:dyDescent="0.25">
      <c r="N122" t="s">
        <v>18</v>
      </c>
      <c r="O122">
        <v>0.06</v>
      </c>
      <c r="P122">
        <v>0.02</v>
      </c>
      <c r="Q122">
        <v>3.12</v>
      </c>
      <c r="R122" s="3">
        <v>1.8E-3</v>
      </c>
    </row>
    <row r="123" spans="1:21" x14ac:dyDescent="0.25">
      <c r="N123" t="s">
        <v>13</v>
      </c>
      <c r="O123">
        <v>-6.32</v>
      </c>
      <c r="P123">
        <v>0.81</v>
      </c>
      <c r="Q123">
        <v>-7.82</v>
      </c>
      <c r="R123" s="3">
        <v>0</v>
      </c>
    </row>
    <row r="124" spans="1:21" x14ac:dyDescent="0.25">
      <c r="N124" t="s">
        <v>17</v>
      </c>
      <c r="O124">
        <v>6</v>
      </c>
      <c r="P124">
        <v>0.03</v>
      </c>
      <c r="Q124">
        <v>174.22</v>
      </c>
      <c r="R124" s="3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4E2A1C82F3C4BA659A6C6CC51AC5F" ma:contentTypeVersion="16" ma:contentTypeDescription="Create a new document." ma:contentTypeScope="" ma:versionID="0765d5a41f49df217abeb23dcfb0b3cf">
  <xsd:schema xmlns:xsd="http://www.w3.org/2001/XMLSchema" xmlns:xs="http://www.w3.org/2001/XMLSchema" xmlns:p="http://schemas.microsoft.com/office/2006/metadata/properties" xmlns:ns2="cc5908d1-2a89-4186-9c08-2c76e53ac163" xmlns:ns3="f72adabb-0ee4-4963-acd9-9efc158f92a6" xmlns:ns4="e8c8a8d2-cf65-4fdf-b6bc-794ebda6188e" targetNamespace="http://schemas.microsoft.com/office/2006/metadata/properties" ma:root="true" ma:fieldsID="519818410c367a5844210e380df69fc7" ns2:_="" ns3:_="" ns4:_="">
    <xsd:import namespace="cc5908d1-2a89-4186-9c08-2c76e53ac163"/>
    <xsd:import namespace="f72adabb-0ee4-4963-acd9-9efc158f92a6"/>
    <xsd:import namespace="e8c8a8d2-cf65-4fdf-b6bc-794ebda618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4:TaxCatchAll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5908d1-2a89-4186-9c08-2c76e53ac1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adabb-0ee4-4963-acd9-9efc158f9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8a8d2-cf65-4fdf-b6bc-794ebda618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05784b43-1d5d-4eb7-a0cf-c03a1466950e}" ma:internalName="TaxCatchAll" ma:showField="CatchAllData" ma:web="e8c8a8d2-cf65-4fdf-b6bc-794ebda618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8a8d2-cf65-4fdf-b6bc-794ebda6188e" xsi:nil="true"/>
    <lcf76f155ced4ddcb4097134ff3c332f xmlns="f72adabb-0ee4-4963-acd9-9efc158f92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B90F4B-7F8C-46F0-9406-18593392BA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5908d1-2a89-4186-9c08-2c76e53ac163"/>
    <ds:schemaRef ds:uri="f72adabb-0ee4-4963-acd9-9efc158f92a6"/>
    <ds:schemaRef ds:uri="e8c8a8d2-cf65-4fdf-b6bc-794ebda61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B533B-3D55-438C-9AAD-6733F13EC5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37CD4F-BF4C-4A91-B046-35447C0CCB0D}">
  <ds:schemaRefs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cc5908d1-2a89-4186-9c08-2c76e53ac163"/>
    <ds:schemaRef ds:uri="http://schemas.microsoft.com/office/infopath/2007/PartnerControls"/>
    <ds:schemaRef ds:uri="e8c8a8d2-cf65-4fdf-b6bc-794ebda6188e"/>
    <ds:schemaRef ds:uri="f72adabb-0ee4-4963-acd9-9efc158f92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Comparison (Coverages)</vt:lpstr>
      <vt:lpstr>Coverages</vt:lpstr>
      <vt:lpstr>Method Codes</vt:lpstr>
      <vt:lpstr>Batch Output</vt:lpstr>
      <vt:lpstr>Coverages (RR_glm)</vt:lpstr>
      <vt:lpstr>Coverages (RR_glm_strat)</vt:lpstr>
      <vt:lpstr>Coverages (RR_glm_agestrat)</vt:lpstr>
      <vt:lpstr>Coverages (RR_NRadj)</vt:lpstr>
      <vt:lpstr>Coverages (RR_NRadj_strat)</vt:lpstr>
      <vt:lpstr>Bin. Coverages (RR_glm)</vt:lpstr>
      <vt:lpstr>Bin. Coverages (RR_glm_strat)</vt:lpstr>
      <vt:lpstr>Bin. Coverages (RR_NRadj)</vt:lpstr>
      <vt:lpstr>Bin. Coverages (RR_NRadj_strat)</vt:lpstr>
      <vt:lpstr>Bin. Coverages (RR_glm_agestra)</vt:lpstr>
      <vt:lpstr>Imputation Methods</vt:lpstr>
      <vt:lpstr>temp notes</vt:lpstr>
      <vt:lpstr>gee vs genmod</vt:lpstr>
      <vt:lpstr>'gee vs genmod'!IDX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Akushevich, Alex</dc:creator>
  <cp:keywords/>
  <dc:description/>
  <cp:lastModifiedBy>Zhao, Beibo</cp:lastModifiedBy>
  <cp:revision/>
  <dcterms:created xsi:type="dcterms:W3CDTF">2024-11-08T01:26:57Z</dcterms:created>
  <dcterms:modified xsi:type="dcterms:W3CDTF">2025-07-25T13:04:50Z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0x0101009074E2A1C82F3C4BA659A6C6CC51AC5F</vt:lpwstr>
  </property>
  <property fmtid="{D5CDD505-2E9C-101B-9397-08002B2CF9AE}" pid="3" name="MediaServiceImageTags">
    <vt:lpwstr/>
  </property>
</Properties>
</file>